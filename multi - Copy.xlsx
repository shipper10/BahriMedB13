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Shipper\Documents\"/>
    </mc:Choice>
  </mc:AlternateContent>
  <xr:revisionPtr revIDLastSave="0" documentId="13_ncr:1_{5AADB65E-3620-4687-A59B-16C1018FBB2E}" xr6:coauthVersionLast="47" xr6:coauthVersionMax="47" xr10:uidLastSave="{00000000-0000-0000-0000-000000000000}"/>
  <bookViews>
    <workbookView xWindow="-120" yWindow="-120" windowWidth="20730" windowHeight="11160" xr2:uid="{D5F01F89-7CFD-490D-82F7-DC54CDC83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3" i="1" l="1" a="1"/>
  <c r="D263" i="1" s="1"/>
  <c r="D264" i="1" a="1"/>
  <c r="D264" i="1" s="1"/>
  <c r="D265" i="1" a="1"/>
  <c r="D265" i="1" s="1"/>
  <c r="D266" i="1" a="1"/>
  <c r="D266" i="1" s="1"/>
  <c r="D267" i="1" a="1"/>
  <c r="D267" i="1" s="1"/>
  <c r="D268" i="1" a="1"/>
  <c r="D268" i="1" s="1"/>
  <c r="D269" i="1" a="1"/>
  <c r="D269" i="1" s="1"/>
  <c r="D270" i="1" a="1"/>
  <c r="D270" i="1" s="1"/>
  <c r="D271" i="1" a="1"/>
  <c r="D271" i="1" s="1"/>
  <c r="D272" i="1" a="1"/>
  <c r="D272" i="1" s="1"/>
  <c r="D273" i="1" a="1"/>
  <c r="D273" i="1" s="1"/>
  <c r="O263" i="1" a="1"/>
  <c r="O263" i="1"/>
  <c r="O264" i="1" a="1"/>
  <c r="O264" i="1"/>
  <c r="O265" i="1" a="1"/>
  <c r="O265" i="1"/>
  <c r="O266" i="1" a="1"/>
  <c r="O266" i="1"/>
  <c r="O267" i="1" a="1"/>
  <c r="O267" i="1"/>
  <c r="O268" i="1" a="1"/>
  <c r="O268" i="1"/>
  <c r="O269" i="1" a="1"/>
  <c r="O269" i="1"/>
  <c r="O270" i="1" a="1"/>
  <c r="O270" i="1"/>
  <c r="O271" i="1" a="1"/>
  <c r="O271" i="1"/>
  <c r="O272" i="1" a="1"/>
  <c r="O272" i="1"/>
  <c r="O273" i="1" a="1"/>
  <c r="O273" i="1"/>
  <c r="U263" i="1" a="1"/>
  <c r="U263" i="1" s="1"/>
  <c r="U264" i="1" a="1"/>
  <c r="U264" i="1" s="1"/>
  <c r="U265" i="1" a="1"/>
  <c r="U265" i="1" s="1"/>
  <c r="U266" i="1" a="1"/>
  <c r="U266" i="1" s="1"/>
  <c r="U267" i="1" a="1"/>
  <c r="U267" i="1" s="1"/>
  <c r="U268" i="1" a="1"/>
  <c r="U268" i="1" s="1"/>
  <c r="U269" i="1" a="1"/>
  <c r="U269" i="1" s="1"/>
  <c r="U270" i="1" a="1"/>
  <c r="U270" i="1" s="1"/>
  <c r="U271" i="1" a="1"/>
  <c r="U271" i="1" s="1"/>
  <c r="U272" i="1" a="1"/>
  <c r="U272" i="1" s="1"/>
  <c r="U273" i="1" a="1"/>
  <c r="U273" i="1" s="1"/>
  <c r="D143" i="1" a="1"/>
  <c r="D143" i="1" s="1"/>
  <c r="D144" i="1" a="1"/>
  <c r="D144" i="1"/>
  <c r="D145" i="1" a="1"/>
  <c r="D145" i="1" s="1"/>
  <c r="D146" i="1" a="1"/>
  <c r="D146" i="1"/>
  <c r="D147" i="1" a="1"/>
  <c r="D147" i="1" s="1"/>
  <c r="D148" i="1" a="1"/>
  <c r="D148" i="1"/>
  <c r="D149" i="1" a="1"/>
  <c r="D149" i="1" s="1"/>
  <c r="D150" i="1" a="1"/>
  <c r="D150" i="1"/>
  <c r="D151" i="1" a="1"/>
  <c r="D151" i="1" s="1"/>
  <c r="D152" i="1" a="1"/>
  <c r="D152" i="1"/>
  <c r="D153" i="1" a="1"/>
  <c r="D153" i="1" s="1"/>
  <c r="D154" i="1" a="1"/>
  <c r="D154" i="1"/>
  <c r="D155" i="1" a="1"/>
  <c r="D155" i="1" s="1"/>
  <c r="D156" i="1" a="1"/>
  <c r="D156" i="1"/>
  <c r="D157" i="1" a="1"/>
  <c r="D157" i="1" s="1"/>
  <c r="D158" i="1" a="1"/>
  <c r="D158" i="1"/>
  <c r="D159" i="1" a="1"/>
  <c r="D159" i="1" s="1"/>
  <c r="D160" i="1" a="1"/>
  <c r="D160" i="1"/>
  <c r="D161" i="1" a="1"/>
  <c r="D161" i="1" s="1"/>
  <c r="D162" i="1" a="1"/>
  <c r="D162" i="1"/>
  <c r="D163" i="1" a="1"/>
  <c r="D163" i="1" s="1"/>
  <c r="D164" i="1" a="1"/>
  <c r="D164" i="1"/>
  <c r="D165" i="1" a="1"/>
  <c r="D165" i="1" s="1"/>
  <c r="D166" i="1" a="1"/>
  <c r="D166" i="1"/>
  <c r="D167" i="1" a="1"/>
  <c r="D167" i="1" s="1"/>
  <c r="D168" i="1" a="1"/>
  <c r="D168" i="1"/>
  <c r="D169" i="1" a="1"/>
  <c r="D169" i="1" s="1"/>
  <c r="D170" i="1" a="1"/>
  <c r="D170" i="1"/>
  <c r="D171" i="1" a="1"/>
  <c r="D171" i="1" s="1"/>
  <c r="D172" i="1" a="1"/>
  <c r="D172" i="1"/>
  <c r="D173" i="1" a="1"/>
  <c r="D173" i="1" s="1"/>
  <c r="D174" i="1" a="1"/>
  <c r="D174" i="1"/>
  <c r="D175" i="1" a="1"/>
  <c r="D175" i="1" s="1"/>
  <c r="D176" i="1" a="1"/>
  <c r="D176" i="1"/>
  <c r="D177" i="1" a="1"/>
  <c r="D177" i="1" s="1"/>
  <c r="D178" i="1" a="1"/>
  <c r="D178" i="1"/>
  <c r="D179" i="1" a="1"/>
  <c r="D179" i="1" s="1"/>
  <c r="D180" i="1" a="1"/>
  <c r="D180" i="1"/>
  <c r="D181" i="1" a="1"/>
  <c r="D181" i="1" s="1"/>
  <c r="D182" i="1" a="1"/>
  <c r="D182" i="1"/>
  <c r="D183" i="1" a="1"/>
  <c r="D183" i="1" s="1"/>
  <c r="D184" i="1" a="1"/>
  <c r="D184" i="1"/>
  <c r="D185" i="1" a="1"/>
  <c r="D185" i="1" s="1"/>
  <c r="D186" i="1" a="1"/>
  <c r="D186" i="1"/>
  <c r="D187" i="1" a="1"/>
  <c r="D187" i="1" s="1"/>
  <c r="D188" i="1" a="1"/>
  <c r="D188" i="1"/>
  <c r="D189" i="1" a="1"/>
  <c r="D189" i="1" s="1"/>
  <c r="D190" i="1" a="1"/>
  <c r="D190" i="1"/>
  <c r="D191" i="1" a="1"/>
  <c r="D191" i="1" s="1"/>
  <c r="D192" i="1" a="1"/>
  <c r="D192" i="1"/>
  <c r="D193" i="1" a="1"/>
  <c r="D193" i="1" s="1"/>
  <c r="D194" i="1" a="1"/>
  <c r="D194" i="1"/>
  <c r="D195" i="1" a="1"/>
  <c r="D195" i="1" s="1"/>
  <c r="D196" i="1" a="1"/>
  <c r="D196" i="1"/>
  <c r="D197" i="1" a="1"/>
  <c r="D197" i="1" s="1"/>
  <c r="D198" i="1" a="1"/>
  <c r="D198" i="1"/>
  <c r="D199" i="1" a="1"/>
  <c r="D199" i="1" s="1"/>
  <c r="D200" i="1" a="1"/>
  <c r="D200" i="1"/>
  <c r="D201" i="1" a="1"/>
  <c r="D201" i="1" s="1"/>
  <c r="D202" i="1" a="1"/>
  <c r="D202" i="1"/>
  <c r="D203" i="1" a="1"/>
  <c r="D203" i="1" s="1"/>
  <c r="D204" i="1" a="1"/>
  <c r="D204" i="1"/>
  <c r="D205" i="1" a="1"/>
  <c r="D205" i="1" s="1"/>
  <c r="D206" i="1" a="1"/>
  <c r="D206" i="1"/>
  <c r="D207" i="1" a="1"/>
  <c r="D207" i="1" s="1"/>
  <c r="D208" i="1" a="1"/>
  <c r="D208" i="1"/>
  <c r="D209" i="1" a="1"/>
  <c r="D209" i="1" s="1"/>
  <c r="D210" i="1" a="1"/>
  <c r="D210" i="1"/>
  <c r="D211" i="1" a="1"/>
  <c r="D211" i="1" s="1"/>
  <c r="D212" i="1" a="1"/>
  <c r="D212" i="1"/>
  <c r="D213" i="1" a="1"/>
  <c r="D213" i="1" s="1"/>
  <c r="D214" i="1" a="1"/>
  <c r="D214" i="1"/>
  <c r="D215" i="1" a="1"/>
  <c r="D215" i="1" s="1"/>
  <c r="D216" i="1" a="1"/>
  <c r="D216" i="1"/>
  <c r="D217" i="1" a="1"/>
  <c r="D217" i="1" s="1"/>
  <c r="D218" i="1" a="1"/>
  <c r="D218" i="1"/>
  <c r="D219" i="1" a="1"/>
  <c r="D219" i="1" s="1"/>
  <c r="D220" i="1" a="1"/>
  <c r="D220" i="1"/>
  <c r="D221" i="1" a="1"/>
  <c r="D221" i="1" s="1"/>
  <c r="D222" i="1" a="1"/>
  <c r="D222" i="1"/>
  <c r="D223" i="1" a="1"/>
  <c r="D223" i="1" s="1"/>
  <c r="D224" i="1" a="1"/>
  <c r="D224" i="1"/>
  <c r="D225" i="1" a="1"/>
  <c r="D225" i="1" s="1"/>
  <c r="D226" i="1" a="1"/>
  <c r="D226" i="1"/>
  <c r="D227" i="1" a="1"/>
  <c r="D227" i="1" s="1"/>
  <c r="D228" i="1" a="1"/>
  <c r="D228" i="1"/>
  <c r="D229" i="1" a="1"/>
  <c r="D229" i="1" s="1"/>
  <c r="D230" i="1" a="1"/>
  <c r="D230" i="1"/>
  <c r="D231" i="1" a="1"/>
  <c r="D231" i="1" s="1"/>
  <c r="D232" i="1" a="1"/>
  <c r="D232" i="1"/>
  <c r="D233" i="1" a="1"/>
  <c r="D233" i="1" s="1"/>
  <c r="D234" i="1" a="1"/>
  <c r="D234" i="1"/>
  <c r="D235" i="1" a="1"/>
  <c r="D235" i="1" s="1"/>
  <c r="D236" i="1" a="1"/>
  <c r="D236" i="1"/>
  <c r="D237" i="1" a="1"/>
  <c r="D237" i="1" s="1"/>
  <c r="D238" i="1" a="1"/>
  <c r="D238" i="1"/>
  <c r="D239" i="1" a="1"/>
  <c r="D239" i="1" s="1"/>
  <c r="D240" i="1" a="1"/>
  <c r="D240" i="1"/>
  <c r="D241" i="1" a="1"/>
  <c r="D241" i="1" s="1"/>
  <c r="D242" i="1" a="1"/>
  <c r="D242" i="1"/>
  <c r="D243" i="1" a="1"/>
  <c r="D243" i="1" s="1"/>
  <c r="D244" i="1" a="1"/>
  <c r="D244" i="1"/>
  <c r="D245" i="1" a="1"/>
  <c r="D245" i="1" s="1"/>
  <c r="D246" i="1" a="1"/>
  <c r="D246" i="1"/>
  <c r="D247" i="1" a="1"/>
  <c r="D247" i="1" s="1"/>
  <c r="D248" i="1" a="1"/>
  <c r="D248" i="1"/>
  <c r="D249" i="1" a="1"/>
  <c r="D249" i="1" s="1"/>
  <c r="D250" i="1" a="1"/>
  <c r="D250" i="1"/>
  <c r="D251" i="1" a="1"/>
  <c r="D251" i="1" s="1"/>
  <c r="D252" i="1" a="1"/>
  <c r="D252" i="1"/>
  <c r="D253" i="1" a="1"/>
  <c r="D253" i="1" s="1"/>
  <c r="D254" i="1" a="1"/>
  <c r="D254" i="1"/>
  <c r="D255" i="1" a="1"/>
  <c r="D255" i="1" s="1"/>
  <c r="D256" i="1" a="1"/>
  <c r="D256" i="1"/>
  <c r="D257" i="1" a="1"/>
  <c r="D257" i="1" s="1"/>
  <c r="D258" i="1" a="1"/>
  <c r="D258" i="1"/>
  <c r="D259" i="1" a="1"/>
  <c r="D259" i="1" s="1"/>
  <c r="D260" i="1" a="1"/>
  <c r="D260" i="1"/>
  <c r="D261" i="1" a="1"/>
  <c r="D261" i="1" s="1"/>
  <c r="D262" i="1" a="1"/>
  <c r="D262" i="1"/>
  <c r="O143" i="1" a="1"/>
  <c r="O143" i="1" s="1"/>
  <c r="O144" i="1" a="1"/>
  <c r="O144" i="1"/>
  <c r="O145" i="1" a="1"/>
  <c r="O145" i="1" s="1"/>
  <c r="O146" i="1" a="1"/>
  <c r="O146" i="1"/>
  <c r="O147" i="1" a="1"/>
  <c r="O147" i="1" s="1"/>
  <c r="O148" i="1" a="1"/>
  <c r="O148" i="1"/>
  <c r="O149" i="1" a="1"/>
  <c r="O149" i="1" s="1"/>
  <c r="O150" i="1" a="1"/>
  <c r="O150" i="1"/>
  <c r="O151" i="1" a="1"/>
  <c r="O151" i="1" s="1"/>
  <c r="O152" i="1" a="1"/>
  <c r="O152" i="1"/>
  <c r="O153" i="1" a="1"/>
  <c r="O153" i="1" s="1"/>
  <c r="O154" i="1" a="1"/>
  <c r="O154" i="1"/>
  <c r="O155" i="1" a="1"/>
  <c r="O155" i="1" s="1"/>
  <c r="O156" i="1" a="1"/>
  <c r="O156" i="1"/>
  <c r="O157" i="1" a="1"/>
  <c r="O157" i="1" s="1"/>
  <c r="O158" i="1" a="1"/>
  <c r="O158" i="1"/>
  <c r="O159" i="1" a="1"/>
  <c r="O159" i="1" s="1"/>
  <c r="O160" i="1" a="1"/>
  <c r="O160" i="1"/>
  <c r="O161" i="1" a="1"/>
  <c r="O161" i="1" s="1"/>
  <c r="O162" i="1" a="1"/>
  <c r="O162" i="1"/>
  <c r="O163" i="1" a="1"/>
  <c r="O163" i="1" s="1"/>
  <c r="O164" i="1" a="1"/>
  <c r="O164" i="1"/>
  <c r="O165" i="1" a="1"/>
  <c r="O165" i="1" s="1"/>
  <c r="O166" i="1" a="1"/>
  <c r="O166" i="1"/>
  <c r="O167" i="1" a="1"/>
  <c r="O167" i="1" s="1"/>
  <c r="O168" i="1" a="1"/>
  <c r="O168" i="1"/>
  <c r="O169" i="1" a="1"/>
  <c r="O169" i="1" s="1"/>
  <c r="O170" i="1" a="1"/>
  <c r="O170" i="1"/>
  <c r="O171" i="1" a="1"/>
  <c r="O171" i="1" s="1"/>
  <c r="O172" i="1" a="1"/>
  <c r="O172" i="1"/>
  <c r="O173" i="1" a="1"/>
  <c r="O173" i="1" s="1"/>
  <c r="O174" i="1" a="1"/>
  <c r="O174" i="1"/>
  <c r="O175" i="1" a="1"/>
  <c r="O175" i="1" s="1"/>
  <c r="O176" i="1" a="1"/>
  <c r="O176" i="1"/>
  <c r="O177" i="1" a="1"/>
  <c r="O177" i="1" s="1"/>
  <c r="O178" i="1" a="1"/>
  <c r="O178" i="1"/>
  <c r="O179" i="1" a="1"/>
  <c r="O179" i="1" s="1"/>
  <c r="O180" i="1" a="1"/>
  <c r="O180" i="1"/>
  <c r="O181" i="1" a="1"/>
  <c r="O181" i="1" s="1"/>
  <c r="O182" i="1" a="1"/>
  <c r="O182" i="1"/>
  <c r="O183" i="1" a="1"/>
  <c r="O183" i="1" s="1"/>
  <c r="O184" i="1" a="1"/>
  <c r="O184" i="1"/>
  <c r="O185" i="1" a="1"/>
  <c r="O185" i="1" s="1"/>
  <c r="O186" i="1" a="1"/>
  <c r="O186" i="1"/>
  <c r="O187" i="1" a="1"/>
  <c r="O187" i="1" s="1"/>
  <c r="O188" i="1" a="1"/>
  <c r="O188" i="1"/>
  <c r="O189" i="1" a="1"/>
  <c r="O189" i="1" s="1"/>
  <c r="O190" i="1" a="1"/>
  <c r="O190" i="1"/>
  <c r="O191" i="1" a="1"/>
  <c r="O191" i="1" s="1"/>
  <c r="O192" i="1" a="1"/>
  <c r="O192" i="1"/>
  <c r="O193" i="1" a="1"/>
  <c r="O193" i="1" s="1"/>
  <c r="O194" i="1" a="1"/>
  <c r="O194" i="1"/>
  <c r="O195" i="1" a="1"/>
  <c r="O195" i="1" s="1"/>
  <c r="O196" i="1" a="1"/>
  <c r="O196" i="1"/>
  <c r="O197" i="1" a="1"/>
  <c r="O197" i="1" s="1"/>
  <c r="O198" i="1" a="1"/>
  <c r="O198" i="1"/>
  <c r="O199" i="1" a="1"/>
  <c r="O199" i="1" s="1"/>
  <c r="O200" i="1" a="1"/>
  <c r="O200" i="1"/>
  <c r="O201" i="1" a="1"/>
  <c r="O201" i="1" s="1"/>
  <c r="O202" i="1" a="1"/>
  <c r="O202" i="1"/>
  <c r="O203" i="1" a="1"/>
  <c r="O203" i="1" s="1"/>
  <c r="O204" i="1" a="1"/>
  <c r="O204" i="1"/>
  <c r="O205" i="1" a="1"/>
  <c r="O205" i="1" s="1"/>
  <c r="O206" i="1" a="1"/>
  <c r="O206" i="1"/>
  <c r="O207" i="1" a="1"/>
  <c r="O207" i="1" s="1"/>
  <c r="O208" i="1" a="1"/>
  <c r="O208" i="1"/>
  <c r="O209" i="1" a="1"/>
  <c r="O209" i="1" s="1"/>
  <c r="O210" i="1" a="1"/>
  <c r="O210" i="1"/>
  <c r="O211" i="1" a="1"/>
  <c r="O211" i="1" s="1"/>
  <c r="O212" i="1" a="1"/>
  <c r="O212" i="1"/>
  <c r="O213" i="1" a="1"/>
  <c r="O213" i="1" s="1"/>
  <c r="O214" i="1" a="1"/>
  <c r="O214" i="1"/>
  <c r="O215" i="1" a="1"/>
  <c r="O215" i="1" s="1"/>
  <c r="O216" i="1" a="1"/>
  <c r="O216" i="1"/>
  <c r="O217" i="1" a="1"/>
  <c r="O217" i="1" s="1"/>
  <c r="O218" i="1" a="1"/>
  <c r="O218" i="1"/>
  <c r="O219" i="1" a="1"/>
  <c r="O219" i="1" s="1"/>
  <c r="O220" i="1" a="1"/>
  <c r="O220" i="1"/>
  <c r="O221" i="1" a="1"/>
  <c r="O221" i="1" s="1"/>
  <c r="O222" i="1" a="1"/>
  <c r="O222" i="1"/>
  <c r="O223" i="1" a="1"/>
  <c r="O223" i="1" s="1"/>
  <c r="O224" i="1" a="1"/>
  <c r="O224" i="1"/>
  <c r="O225" i="1" a="1"/>
  <c r="O225" i="1" s="1"/>
  <c r="O226" i="1" a="1"/>
  <c r="O226" i="1"/>
  <c r="O227" i="1" a="1"/>
  <c r="O227" i="1" s="1"/>
  <c r="O228" i="1" a="1"/>
  <c r="O228" i="1"/>
  <c r="O229" i="1" a="1"/>
  <c r="O229" i="1" s="1"/>
  <c r="O230" i="1" a="1"/>
  <c r="O230" i="1"/>
  <c r="O231" i="1" a="1"/>
  <c r="O231" i="1" s="1"/>
  <c r="O232" i="1" a="1"/>
  <c r="O232" i="1"/>
  <c r="O233" i="1" a="1"/>
  <c r="O233" i="1" s="1"/>
  <c r="O234" i="1" a="1"/>
  <c r="O234" i="1"/>
  <c r="O235" i="1" a="1"/>
  <c r="O235" i="1" s="1"/>
  <c r="O236" i="1" a="1"/>
  <c r="O236" i="1"/>
  <c r="O237" i="1" a="1"/>
  <c r="O237" i="1" s="1"/>
  <c r="O238" i="1" a="1"/>
  <c r="O238" i="1"/>
  <c r="O239" i="1" a="1"/>
  <c r="O239" i="1" s="1"/>
  <c r="O240" i="1" a="1"/>
  <c r="O240" i="1"/>
  <c r="O241" i="1" a="1"/>
  <c r="O241" i="1" s="1"/>
  <c r="O242" i="1" a="1"/>
  <c r="O242" i="1"/>
  <c r="O243" i="1" a="1"/>
  <c r="O243" i="1" s="1"/>
  <c r="O244" i="1" a="1"/>
  <c r="O244" i="1"/>
  <c r="O245" i="1" a="1"/>
  <c r="O245" i="1" s="1"/>
  <c r="O246" i="1" a="1"/>
  <c r="O246" i="1"/>
  <c r="O247" i="1" a="1"/>
  <c r="O247" i="1" s="1"/>
  <c r="O248" i="1" a="1"/>
  <c r="O248" i="1"/>
  <c r="O249" i="1" a="1"/>
  <c r="O249" i="1" s="1"/>
  <c r="O250" i="1" a="1"/>
  <c r="O250" i="1"/>
  <c r="O251" i="1" a="1"/>
  <c r="O251" i="1" s="1"/>
  <c r="O252" i="1" a="1"/>
  <c r="O252" i="1"/>
  <c r="O253" i="1" a="1"/>
  <c r="O253" i="1" s="1"/>
  <c r="O254" i="1" a="1"/>
  <c r="O254" i="1"/>
  <c r="O255" i="1" a="1"/>
  <c r="O255" i="1" s="1"/>
  <c r="O256" i="1" a="1"/>
  <c r="O256" i="1"/>
  <c r="O257" i="1" a="1"/>
  <c r="O257" i="1" s="1"/>
  <c r="O258" i="1" a="1"/>
  <c r="O258" i="1"/>
  <c r="O259" i="1" a="1"/>
  <c r="O259" i="1" s="1"/>
  <c r="O260" i="1" a="1"/>
  <c r="O260" i="1"/>
  <c r="O261" i="1" a="1"/>
  <c r="O261" i="1" s="1"/>
  <c r="O262" i="1" a="1"/>
  <c r="O262" i="1"/>
  <c r="U143" i="1" a="1"/>
  <c r="U143" i="1" s="1"/>
  <c r="U144" i="1" a="1"/>
  <c r="U144" i="1"/>
  <c r="U145" i="1" a="1"/>
  <c r="U145" i="1" s="1"/>
  <c r="U146" i="1" a="1"/>
  <c r="U146" i="1"/>
  <c r="U147" i="1" a="1"/>
  <c r="U147" i="1" s="1"/>
  <c r="U148" i="1" a="1"/>
  <c r="U148" i="1"/>
  <c r="U149" i="1" a="1"/>
  <c r="U149" i="1" s="1"/>
  <c r="U150" i="1" a="1"/>
  <c r="U150" i="1"/>
  <c r="U151" i="1" a="1"/>
  <c r="U151" i="1" s="1"/>
  <c r="U152" i="1" a="1"/>
  <c r="U152" i="1"/>
  <c r="U153" i="1" a="1"/>
  <c r="U153" i="1" s="1"/>
  <c r="U154" i="1" a="1"/>
  <c r="U154" i="1"/>
  <c r="U155" i="1" a="1"/>
  <c r="U155" i="1" s="1"/>
  <c r="U156" i="1" a="1"/>
  <c r="U156" i="1"/>
  <c r="U157" i="1" a="1"/>
  <c r="U157" i="1" s="1"/>
  <c r="U158" i="1" a="1"/>
  <c r="U158" i="1"/>
  <c r="U159" i="1" a="1"/>
  <c r="U159" i="1" s="1"/>
  <c r="U160" i="1" a="1"/>
  <c r="U160" i="1"/>
  <c r="U161" i="1" a="1"/>
  <c r="U161" i="1" s="1"/>
  <c r="U162" i="1" a="1"/>
  <c r="U162" i="1"/>
  <c r="U163" i="1" a="1"/>
  <c r="U163" i="1" s="1"/>
  <c r="U164" i="1" a="1"/>
  <c r="U164" i="1"/>
  <c r="U165" i="1" a="1"/>
  <c r="U165" i="1" s="1"/>
  <c r="U166" i="1" a="1"/>
  <c r="U166" i="1"/>
  <c r="U167" i="1" a="1"/>
  <c r="U167" i="1" s="1"/>
  <c r="U168" i="1" a="1"/>
  <c r="U168" i="1"/>
  <c r="U169" i="1" a="1"/>
  <c r="U169" i="1" s="1"/>
  <c r="U170" i="1" a="1"/>
  <c r="U170" i="1"/>
  <c r="U171" i="1" a="1"/>
  <c r="U171" i="1" s="1"/>
  <c r="U172" i="1" a="1"/>
  <c r="U172" i="1"/>
  <c r="U173" i="1" a="1"/>
  <c r="U173" i="1" s="1"/>
  <c r="U174" i="1" a="1"/>
  <c r="U174" i="1"/>
  <c r="U175" i="1" a="1"/>
  <c r="U175" i="1" s="1"/>
  <c r="U176" i="1" a="1"/>
  <c r="U176" i="1"/>
  <c r="U177" i="1" a="1"/>
  <c r="U177" i="1" s="1"/>
  <c r="U178" i="1" a="1"/>
  <c r="U178" i="1"/>
  <c r="U179" i="1" a="1"/>
  <c r="U179" i="1" s="1"/>
  <c r="U180" i="1" a="1"/>
  <c r="U180" i="1"/>
  <c r="U181" i="1" a="1"/>
  <c r="U181" i="1" s="1"/>
  <c r="U182" i="1" a="1"/>
  <c r="U182" i="1"/>
  <c r="U183" i="1" a="1"/>
  <c r="U183" i="1" s="1"/>
  <c r="U184" i="1" a="1"/>
  <c r="U184" i="1"/>
  <c r="U185" i="1" a="1"/>
  <c r="U185" i="1" s="1"/>
  <c r="U186" i="1" a="1"/>
  <c r="U186" i="1"/>
  <c r="U187" i="1" a="1"/>
  <c r="U187" i="1" s="1"/>
  <c r="U188" i="1" a="1"/>
  <c r="U188" i="1"/>
  <c r="U189" i="1" a="1"/>
  <c r="U189" i="1" s="1"/>
  <c r="U190" i="1" a="1"/>
  <c r="U190" i="1"/>
  <c r="U191" i="1" a="1"/>
  <c r="U191" i="1" s="1"/>
  <c r="U192" i="1" a="1"/>
  <c r="U192" i="1"/>
  <c r="U193" i="1" a="1"/>
  <c r="U193" i="1" s="1"/>
  <c r="U194" i="1" a="1"/>
  <c r="U194" i="1"/>
  <c r="U195" i="1" a="1"/>
  <c r="U195" i="1" s="1"/>
  <c r="U196" i="1" a="1"/>
  <c r="U196" i="1"/>
  <c r="U197" i="1" a="1"/>
  <c r="U197" i="1" s="1"/>
  <c r="U198" i="1" a="1"/>
  <c r="U198" i="1"/>
  <c r="U199" i="1" a="1"/>
  <c r="U199" i="1" s="1"/>
  <c r="U200" i="1" a="1"/>
  <c r="U200" i="1"/>
  <c r="U201" i="1" a="1"/>
  <c r="U201" i="1" s="1"/>
  <c r="U202" i="1" a="1"/>
  <c r="U202" i="1"/>
  <c r="U203" i="1" a="1"/>
  <c r="U203" i="1" s="1"/>
  <c r="U204" i="1" a="1"/>
  <c r="U204" i="1"/>
  <c r="U205" i="1" a="1"/>
  <c r="U205" i="1" s="1"/>
  <c r="U206" i="1" a="1"/>
  <c r="U206" i="1"/>
  <c r="U207" i="1" a="1"/>
  <c r="U207" i="1" s="1"/>
  <c r="U208" i="1" a="1"/>
  <c r="U208" i="1"/>
  <c r="U209" i="1" a="1"/>
  <c r="U209" i="1" s="1"/>
  <c r="U210" i="1" a="1"/>
  <c r="U210" i="1"/>
  <c r="U211" i="1" a="1"/>
  <c r="U211" i="1" s="1"/>
  <c r="U212" i="1" a="1"/>
  <c r="U212" i="1"/>
  <c r="U213" i="1" a="1"/>
  <c r="U213" i="1" s="1"/>
  <c r="U214" i="1" a="1"/>
  <c r="U214" i="1"/>
  <c r="U215" i="1" a="1"/>
  <c r="U215" i="1" s="1"/>
  <c r="U216" i="1" a="1"/>
  <c r="U216" i="1"/>
  <c r="U217" i="1" a="1"/>
  <c r="U217" i="1" s="1"/>
  <c r="U218" i="1" a="1"/>
  <c r="U218" i="1"/>
  <c r="U219" i="1" a="1"/>
  <c r="U219" i="1" s="1"/>
  <c r="U220" i="1" a="1"/>
  <c r="U220" i="1"/>
  <c r="U221" i="1" a="1"/>
  <c r="U221" i="1" s="1"/>
  <c r="U222" i="1" a="1"/>
  <c r="U222" i="1"/>
  <c r="U223" i="1" a="1"/>
  <c r="U223" i="1" s="1"/>
  <c r="U224" i="1" a="1"/>
  <c r="U224" i="1"/>
  <c r="U225" i="1" a="1"/>
  <c r="U225" i="1" s="1"/>
  <c r="U226" i="1" a="1"/>
  <c r="U226" i="1"/>
  <c r="U227" i="1" a="1"/>
  <c r="U227" i="1" s="1"/>
  <c r="U228" i="1" a="1"/>
  <c r="U228" i="1"/>
  <c r="U229" i="1" a="1"/>
  <c r="U229" i="1" s="1"/>
  <c r="U230" i="1" a="1"/>
  <c r="U230" i="1"/>
  <c r="U231" i="1" a="1"/>
  <c r="U231" i="1" s="1"/>
  <c r="U232" i="1" a="1"/>
  <c r="U232" i="1"/>
  <c r="U233" i="1" a="1"/>
  <c r="U233" i="1" s="1"/>
  <c r="U234" i="1" a="1"/>
  <c r="U234" i="1"/>
  <c r="U235" i="1" a="1"/>
  <c r="U235" i="1" s="1"/>
  <c r="U236" i="1" a="1"/>
  <c r="U236" i="1"/>
  <c r="U237" i="1" a="1"/>
  <c r="U237" i="1" s="1"/>
  <c r="U238" i="1" a="1"/>
  <c r="U238" i="1"/>
  <c r="U239" i="1" a="1"/>
  <c r="U239" i="1" s="1"/>
  <c r="U240" i="1" a="1"/>
  <c r="U240" i="1"/>
  <c r="U241" i="1" a="1"/>
  <c r="U241" i="1" s="1"/>
  <c r="U242" i="1" a="1"/>
  <c r="U242" i="1"/>
  <c r="U243" i="1" a="1"/>
  <c r="U243" i="1" s="1"/>
  <c r="U244" i="1" a="1"/>
  <c r="U244" i="1"/>
  <c r="U245" i="1" a="1"/>
  <c r="U245" i="1" s="1"/>
  <c r="U246" i="1" a="1"/>
  <c r="U246" i="1"/>
  <c r="U247" i="1" a="1"/>
  <c r="U247" i="1" s="1"/>
  <c r="U248" i="1" a="1"/>
  <c r="U248" i="1"/>
  <c r="U249" i="1" a="1"/>
  <c r="U249" i="1" s="1"/>
  <c r="U250" i="1" a="1"/>
  <c r="U250" i="1"/>
  <c r="U251" i="1" a="1"/>
  <c r="U251" i="1" s="1"/>
  <c r="U252" i="1" a="1"/>
  <c r="U252" i="1"/>
  <c r="U253" i="1" a="1"/>
  <c r="U253" i="1" s="1"/>
  <c r="U254" i="1" a="1"/>
  <c r="U254" i="1"/>
  <c r="U255" i="1" a="1"/>
  <c r="U255" i="1" s="1"/>
  <c r="U256" i="1" a="1"/>
  <c r="U256" i="1"/>
  <c r="U257" i="1" a="1"/>
  <c r="U257" i="1" s="1"/>
  <c r="U258" i="1" a="1"/>
  <c r="U258" i="1"/>
  <c r="U259" i="1" a="1"/>
  <c r="U259" i="1" s="1"/>
  <c r="U260" i="1" a="1"/>
  <c r="U260" i="1" s="1"/>
  <c r="U261" i="1" a="1"/>
  <c r="U261" i="1" s="1"/>
  <c r="U262" i="1" a="1"/>
  <c r="U262" i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 s="1"/>
  <c r="D133" i="1" a="1"/>
  <c r="D133" i="1" s="1"/>
  <c r="D134" i="1" a="1"/>
  <c r="D134" i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 s="1"/>
  <c r="D141" i="1" a="1"/>
  <c r="D141" i="1" s="1"/>
  <c r="D142" i="1" a="1"/>
  <c r="D142" i="1"/>
  <c r="D5" i="1" a="1"/>
  <c r="D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U6" i="1" a="1"/>
  <c r="U6" i="1" s="1"/>
  <c r="U7" i="1" a="1"/>
  <c r="U7" i="1" s="1"/>
  <c r="U8" i="1" a="1"/>
  <c r="U8" i="1" s="1"/>
  <c r="U9" i="1" a="1"/>
  <c r="U9" i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/>
  <c r="U74" i="1" a="1"/>
  <c r="U74" i="1" s="1"/>
  <c r="U75" i="1" a="1"/>
  <c r="U75" i="1" s="1"/>
  <c r="U76" i="1" a="1"/>
  <c r="U76" i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/>
  <c r="U89" i="1" a="1"/>
  <c r="U89" i="1" s="1"/>
  <c r="U90" i="1" a="1"/>
  <c r="U90" i="1" s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U104" i="1" a="1"/>
  <c r="U104" i="1" s="1"/>
  <c r="U105" i="1" a="1"/>
  <c r="U105" i="1" s="1"/>
  <c r="U106" i="1" a="1"/>
  <c r="U106" i="1" s="1"/>
  <c r="U107" i="1" a="1"/>
  <c r="U107" i="1" s="1"/>
  <c r="U108" i="1" a="1"/>
  <c r="U108" i="1"/>
  <c r="U109" i="1" a="1"/>
  <c r="U109" i="1" s="1"/>
  <c r="U110" i="1" a="1"/>
  <c r="U110" i="1" s="1"/>
  <c r="U111" i="1" a="1"/>
  <c r="U111" i="1" s="1"/>
  <c r="U112" i="1" a="1"/>
  <c r="U112" i="1" s="1"/>
  <c r="U113" i="1" a="1"/>
  <c r="U113" i="1" s="1"/>
  <c r="U114" i="1" a="1"/>
  <c r="U114" i="1"/>
  <c r="U115" i="1" a="1"/>
  <c r="U115" i="1" s="1"/>
  <c r="U116" i="1" a="1"/>
  <c r="U116" i="1" s="1"/>
  <c r="U117" i="1" a="1"/>
  <c r="U117" i="1" s="1"/>
  <c r="U118" i="1" a="1"/>
  <c r="U118" i="1" s="1"/>
  <c r="U119" i="1" a="1"/>
  <c r="U119" i="1" s="1"/>
  <c r="U120" i="1" a="1"/>
  <c r="U120" i="1"/>
  <c r="U121" i="1" a="1"/>
  <c r="U121" i="1" s="1"/>
  <c r="U122" i="1" a="1"/>
  <c r="U122" i="1" s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U128" i="1" a="1"/>
  <c r="U128" i="1" s="1"/>
  <c r="U129" i="1" a="1"/>
  <c r="U129" i="1" s="1"/>
  <c r="U130" i="1" a="1"/>
  <c r="U130" i="1" s="1"/>
  <c r="U131" i="1" a="1"/>
  <c r="U131" i="1" s="1"/>
  <c r="U132" i="1" a="1"/>
  <c r="U132" i="1" s="1"/>
  <c r="U133" i="1" a="1"/>
  <c r="U133" i="1" s="1"/>
  <c r="U134" i="1" a="1"/>
  <c r="U134" i="1" s="1"/>
  <c r="U135" i="1" a="1"/>
  <c r="U135" i="1" s="1"/>
  <c r="U136" i="1" a="1"/>
  <c r="U136" i="1" s="1"/>
  <c r="U137" i="1" a="1"/>
  <c r="U137" i="1" s="1"/>
  <c r="U138" i="1" a="1"/>
  <c r="U138" i="1" s="1"/>
  <c r="U139" i="1" a="1"/>
  <c r="U139" i="1" s="1"/>
  <c r="U140" i="1" a="1"/>
  <c r="U140" i="1"/>
  <c r="U141" i="1" a="1"/>
  <c r="U141" i="1" s="1"/>
  <c r="U142" i="1" a="1"/>
  <c r="U142" i="1" s="1"/>
  <c r="U5" i="1" l="1" a="1"/>
  <c r="U5" i="1" s="1"/>
  <c r="O5" i="1" a="1"/>
  <c r="O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<sst xmlns="http://schemas.openxmlformats.org/spreadsheetml/2006/main" count="4341" uniqueCount="575">
  <si>
    <t>ID</t>
  </si>
  <si>
    <t>Name</t>
  </si>
  <si>
    <t>Cell Biology</t>
  </si>
  <si>
    <t>Chemistry</t>
  </si>
  <si>
    <t>GPA</t>
  </si>
  <si>
    <t>Biomolecules</t>
  </si>
  <si>
    <t>Community Health</t>
  </si>
  <si>
    <t>Homeostasis</t>
  </si>
  <si>
    <t>Semester 2</t>
  </si>
  <si>
    <t>Semester 1</t>
  </si>
  <si>
    <t>First Year</t>
  </si>
  <si>
    <t>Remark</t>
  </si>
  <si>
    <t>course   Credit Hours</t>
  </si>
  <si>
    <t>MOHAMMED AHMED ELSIDDIG MOHAMMEDNOUR</t>
  </si>
  <si>
    <t>A</t>
  </si>
  <si>
    <t>B+</t>
  </si>
  <si>
    <t>B</t>
  </si>
  <si>
    <t>C</t>
  </si>
  <si>
    <t>80 – 100</t>
  </si>
  <si>
    <t>70 – 79</t>
  </si>
  <si>
    <t>60 – 69</t>
  </si>
  <si>
    <t>50 – 59</t>
  </si>
  <si>
    <t>F</t>
  </si>
  <si>
    <t>0 – 49</t>
  </si>
  <si>
    <t>Grade</t>
  </si>
  <si>
    <t>Mark Range</t>
  </si>
  <si>
    <t>Points</t>
  </si>
  <si>
    <t>Abrar Fadl Al-Sayyid Yousif Abdelmuttalib</t>
  </si>
  <si>
    <t>أبرار فضل السيد يوسف عبد المطلب</t>
  </si>
  <si>
    <t>Abrar Mohammed Abdelbaqi Al-Hajj</t>
  </si>
  <si>
    <t>أبرار محمد عبد الباقي الحاج</t>
  </si>
  <si>
    <t>Abrar Mohammed Al-Hassan Omar Mohammed</t>
  </si>
  <si>
    <t>أبرار محمد الحسن عمر محمد</t>
  </si>
  <si>
    <t>Abubakr Abdelrahman Al-Taher Al-Hajj</t>
  </si>
  <si>
    <t>أبابكر عبد الرحمن الطاهر الحاج</t>
  </si>
  <si>
    <t>Abubakr Al-Amin Mukhtar Omar</t>
  </si>
  <si>
    <t>أبابكر الأمين مختار عمر</t>
  </si>
  <si>
    <t>Ahmed Al-Haitham Abdullah Al-Sharif</t>
  </si>
  <si>
    <t>أحمد الهيثم عبد الله الشريف</t>
  </si>
  <si>
    <t>Ahmed Ihab Safwat Abdelmunim</t>
  </si>
  <si>
    <t>أحمد إيهاب صفوت عبد المنعم</t>
  </si>
  <si>
    <t>Ahmed Mohammed Abbas Mohammed Ali</t>
  </si>
  <si>
    <t>أحمد محمد عباس محمد علي</t>
  </si>
  <si>
    <t>Alaa Salah Awad Mohammed</t>
  </si>
  <si>
    <t>آلاء صلاح عوض محمد</t>
  </si>
  <si>
    <t>Aliya Mujib Al-Rahman Mohammed Adam</t>
  </si>
  <si>
    <t>علياء مجيب الرحمن محمد آدم</t>
  </si>
  <si>
    <t>Al-Muthanna Ahmed Ismail Hamed</t>
  </si>
  <si>
    <t>Al-Noor Al-Hadi Al-Noor Al-Neel</t>
  </si>
  <si>
    <t>النور الهادي النور النيل</t>
  </si>
  <si>
    <t>Al-Zaytouna Al-Tayeb Othman Ali</t>
  </si>
  <si>
    <t>الزيتونة الطيب عثمان علي</t>
  </si>
  <si>
    <t>Amal Mohammed Ahmed Al-Tayeb Mohammed</t>
  </si>
  <si>
    <t>أمل محمد أحمد الطيب محمد</t>
  </si>
  <si>
    <t>Amina Suleiman Ahmed Mousa</t>
  </si>
  <si>
    <t>أمينة سليمان أحمد موسى</t>
  </si>
  <si>
    <t>Arwa Mudathir Khalafallah Mohammed</t>
  </si>
  <si>
    <t>أروى مدثر خلف الله محمد</t>
  </si>
  <si>
    <t>Aseel Muntasir Al-Sirr Al-Tayeb</t>
  </si>
  <si>
    <t>أسيل منتصر السر الطيب</t>
  </si>
  <si>
    <t>Aslab Mohammed Taha Yousif</t>
  </si>
  <si>
    <t>أسلاب محمد طه يوسف</t>
  </si>
  <si>
    <t>Asmaa Emad Mirghani Khidr</t>
  </si>
  <si>
    <t>أسماء عماد میرغني خضر</t>
  </si>
  <si>
    <t>Asmaa Hassan Ahmed Yousif</t>
  </si>
  <si>
    <t>أسماء حسن أحمد يوسف</t>
  </si>
  <si>
    <t>Awwab Essam Bashir Al-Asha</t>
  </si>
  <si>
    <t>أواب عصام بشير العشا</t>
  </si>
  <si>
    <t>Awwab Saif Al-Din Mohammed Khalafallah</t>
  </si>
  <si>
    <t>أواب سيف الدين محمد خلف الله</t>
  </si>
  <si>
    <t>Aya Alaa Al-Din Bashir Mohammed Ali</t>
  </si>
  <si>
    <t>آية علاء الدين بشير محمد علي</t>
  </si>
  <si>
    <t>Aya Mohammed Ahmed Al-Hadi Ibrahim</t>
  </si>
  <si>
    <t>آية محمد أحمد الهادي إبراهيم</t>
  </si>
  <si>
    <t>Ayman Emad Al-Din Mohammed Mohammed Zein</t>
  </si>
  <si>
    <t>أيمن عماد الدين محمد محمد زين</t>
  </si>
  <si>
    <t>Babiker Al-Hussein Yassin Al-Mahi</t>
  </si>
  <si>
    <t>بابكر الحسين ياسين الماحي</t>
  </si>
  <si>
    <t>Baltina Atif Karrar Mohammed</t>
  </si>
  <si>
    <t>بالتينة عاطف كرار محمد</t>
  </si>
  <si>
    <t>Baraa Ali Ahmed Hassan</t>
  </si>
  <si>
    <t>براء علي أحمد حسن</t>
  </si>
  <si>
    <t>Doaa Jaro Abdullah Sabno</t>
  </si>
  <si>
    <t>دعاء جرو عبد الله سبنو</t>
  </si>
  <si>
    <t>Doha Abdelilah Al-Jaili Abdelrahim</t>
  </si>
  <si>
    <t>ضحى عبد الإله الجيلي عبد الرحيم</t>
  </si>
  <si>
    <t>Eithar Ibrahim Mohammed Taher</t>
  </si>
  <si>
    <t>إيثار إبراهيم محمد طاهر</t>
  </si>
  <si>
    <t>Elaaf Bashir Ahmed Mohammed</t>
  </si>
  <si>
    <t>إيلاف بشير أحمد محمد</t>
  </si>
  <si>
    <t>Enas Ismail Abdelrahman Mohammed</t>
  </si>
  <si>
    <t>إيناس إسماعيل عبد الرحمن محمد</t>
  </si>
  <si>
    <t>Esraa Adam Mohammed Abdullah</t>
  </si>
  <si>
    <t>إسراء آدم محمد عبد الله</t>
  </si>
  <si>
    <t>Esraa Othman Ali Al-Noor</t>
  </si>
  <si>
    <t>إسراء عثمان علي النور</t>
  </si>
  <si>
    <t>Farha Saad Rizqallah Saeed</t>
  </si>
  <si>
    <t>فرحة سعد رزق الله سعيد</t>
  </si>
  <si>
    <t>Fatima Osama Al-Tayeb Mohammed</t>
  </si>
  <si>
    <t>فاطمة أسامة الطيب محمد</t>
  </si>
  <si>
    <t>Fatima Salah Mohammed Saeed Ahmed</t>
  </si>
  <si>
    <t>فاطمة صلاح محمد سعيد أحمد</t>
  </si>
  <si>
    <t>Ghadwa Abu Sufyan Hamdan Mohammed Ahmed</t>
  </si>
  <si>
    <t>غدوة أبو سفيان حمدان محمد أحمد</t>
  </si>
  <si>
    <t>Ghaida Abu Bakr Mohammed Ahmed Ragi</t>
  </si>
  <si>
    <t>غيداء أبو بكر محمد أحمد راجي</t>
  </si>
  <si>
    <t>Ghazlan Osama Hussein Ali</t>
  </si>
  <si>
    <t>غزلان أسامة حسين علي</t>
  </si>
  <si>
    <t>Hammad Farah Hammad Ayati</t>
  </si>
  <si>
    <t>حماد فرح حماد أياتي</t>
  </si>
  <si>
    <t>Hamsa Ahmed Abdelazim Ahmed</t>
  </si>
  <si>
    <t>همسة أحمد عبد العظيم أحمد</t>
  </si>
  <si>
    <t>Hibatullah Ali Mohammed Abdelqader</t>
  </si>
  <si>
    <t>هبة الله علي محمد عبد القادر</t>
  </si>
  <si>
    <t>Ihab Sir Al-Khatim Awad Mohammed</t>
  </si>
  <si>
    <t>إيهاب سر الختم عوض محمد</t>
  </si>
  <si>
    <t>Imtinan Ahmed Mohammed Al-Hadi</t>
  </si>
  <si>
    <t>امتنان أحمد محمد الهادي</t>
  </si>
  <si>
    <t>Jamal Al-Din Hashim Jamal Al-Din Abdullah</t>
  </si>
  <si>
    <t>جمال الدين هاشم جمال الدين عبد الله</t>
  </si>
  <si>
    <t>Laila Mohammed Hamad Al-Jaili</t>
  </si>
  <si>
    <t>ليلى محمد حمد الجيلي</t>
  </si>
  <si>
    <t>Lama Al-Sirr Mohammed Abdel...</t>
  </si>
  <si>
    <t>لمى السر محمد عبد...</t>
  </si>
  <si>
    <t>Lana Awad Mohammed Abdelrahman Sharif</t>
  </si>
  <si>
    <t>لنا عوض محمد عبد الرحمن شريف</t>
  </si>
  <si>
    <t>Lina Abdelqader Ahmed Mohammed</t>
  </si>
  <si>
    <t>لينا عبد القادر أحمد محمد</t>
  </si>
  <si>
    <t>Lina Al-Bukhari Omar Omar</t>
  </si>
  <si>
    <t>لينا البخاري عمر عمر</t>
  </si>
  <si>
    <t>Ma'ab Abdelwahid Hassan Ata Al-Manan</t>
  </si>
  <si>
    <t>مآب عبد الواحد حسن عطا المنان</t>
  </si>
  <si>
    <t>Ma'ab Kamal Al-Din Al-Amin Suleiman</t>
  </si>
  <si>
    <t>مآب كمال الدين الأمين سليمان</t>
  </si>
  <si>
    <t>Ma'ab Mohammed Amara Ibrahim</t>
  </si>
  <si>
    <t>مآب محمد عمارة إبراهيم</t>
  </si>
  <si>
    <t>Mab Fayez Mustafa Mahgoub</t>
  </si>
  <si>
    <t>مآب فايز مصطفى محجوب</t>
  </si>
  <si>
    <t>Malak Yousif Ishaq Othman</t>
  </si>
  <si>
    <t>ملاك يوسف إسحاق عثمان</t>
  </si>
  <si>
    <t>Malaz Hashim Babiker Abdelmawla</t>
  </si>
  <si>
    <t>ملاذ هاشم بابكر عبد المولى</t>
  </si>
  <si>
    <t>Malaz Mohammed Abdullah Ali</t>
  </si>
  <si>
    <t>ملاذ محمد عبد الله علي</t>
  </si>
  <si>
    <t>Malaz Omar Mohammed Ahmed Ali</t>
  </si>
  <si>
    <t>ملاذ عمر محمد أحمد علي</t>
  </si>
  <si>
    <t>Manal Abdullah Ahmed Al-Khidir</t>
  </si>
  <si>
    <t>منال عبد الله أحمد الخضر</t>
  </si>
  <si>
    <t>Manasek Hassan AbdelFadil Ahmed</t>
  </si>
  <si>
    <t>مناسك حسن عبد الفضيل أحمد</t>
  </si>
  <si>
    <t>Maram Al-Noor Mohammed Ahmed Ibrahim</t>
  </si>
  <si>
    <t>مرام النور محمد أحمد إبراهيم</t>
  </si>
  <si>
    <t>Marwa Abdelraouf Othman Ahmed</t>
  </si>
  <si>
    <t>مروة عبد الرؤوف عثمان أحمد</t>
  </si>
  <si>
    <t>Marwa Mohammed Issa Younis</t>
  </si>
  <si>
    <t>مروة محمد عيسى يونس</t>
  </si>
  <si>
    <t>Ma'wa Ata Al-Manan Mohammed Rahmatallah</t>
  </si>
  <si>
    <t>مأوى عطا المنان محمد رحمة الله</t>
  </si>
  <si>
    <t>Mawadda Ahmed Al-Amin Fadl</t>
  </si>
  <si>
    <t>مودة أحمد الأمين فضل</t>
  </si>
  <si>
    <t>Mayar Mamoun Mohammed Saeed</t>
  </si>
  <si>
    <t>ميار مأمون محمد سعيد</t>
  </si>
  <si>
    <t>Mohammed Adam Abdullah Adam</t>
  </si>
  <si>
    <t>محمد آدم عبد الله آدم</t>
  </si>
  <si>
    <t>محمد أحمد الصديق محمد نور</t>
  </si>
  <si>
    <t>Mohammed Al-Badawi Al-Junaid Al-Sheikh</t>
  </si>
  <si>
    <t>محمد البدوي الجنيد الشيخ</t>
  </si>
  <si>
    <t>Mohammed Al-Mustafa Walid Rajab Ismail</t>
  </si>
  <si>
    <t>محمد المصطفى وليد رجب إسماعيل</t>
  </si>
  <si>
    <t>Mohammed Ibrahim Abdelbaqi Mohammed</t>
  </si>
  <si>
    <t>محمد إبراهيم عبد الباقي محمد</t>
  </si>
  <si>
    <t>Mohammed Mahmoud Mohammed Ibrahim</t>
  </si>
  <si>
    <t>محمد محمود محمد إبراهيم</t>
  </si>
  <si>
    <t>Mohammed Mutawakkil Yahya Mohammed Nour</t>
  </si>
  <si>
    <t>محمد متوكل يحيى محمد نور</t>
  </si>
  <si>
    <t>Mohammed Siddiq Hussein Adam</t>
  </si>
  <si>
    <t>محمد صديق حسين آدم</t>
  </si>
  <si>
    <t>Mostafa Ahmed Al-Sheikh Idris Ahmed</t>
  </si>
  <si>
    <t>مصطفى أحمد الشيخ إدريس أحمد</t>
  </si>
  <si>
    <t>Mostafa Al-Mahi Ahmed Al-Mahi</t>
  </si>
  <si>
    <t>مصطفى الماحي أحمد الماحي</t>
  </si>
  <si>
    <t>Muzn Mohammed Ali Ahmed</t>
  </si>
  <si>
    <t>مزن محمد علي أحمد</t>
  </si>
  <si>
    <t>Nada Mamoun Abdelmajid Mahmoud</t>
  </si>
  <si>
    <t>ندى مأمون عبد المجيد محمود</t>
  </si>
  <si>
    <t>Nahid Sharaf Al-Din Abdullah Adam</t>
  </si>
  <si>
    <t>ناهد شرف الدين عبد الله آدم</t>
  </si>
  <si>
    <t>Nahla Taha Abdullah Ibrahim</t>
  </si>
  <si>
    <t>نهلة طه عبد الله إبراهيم</t>
  </si>
  <si>
    <t>Najwa Mohammed Ali Abdelhadi Mohammed Ahmed</t>
  </si>
  <si>
    <t>نجوى محمد علي عبد الهادي محمد أحمد</t>
  </si>
  <si>
    <t>Nebras Hatem Dawoud Behi</t>
  </si>
  <si>
    <t>نبرس حاتم داؤود بهي</t>
  </si>
  <si>
    <t>Nouf Ali Abdelhafiz Abdelrahman</t>
  </si>
  <si>
    <t>نوف علي عبد الحفيظ عبد الرحمن</t>
  </si>
  <si>
    <t>Ola Abdelbaqi Al-Gaddal Ahmed</t>
  </si>
  <si>
    <t>علا عبد الباقي القدال أحمد</t>
  </si>
  <si>
    <t>Omar Ahmed Hamad Ibrahim</t>
  </si>
  <si>
    <t>عمر أحمد حمد إبراهيم</t>
  </si>
  <si>
    <t>Omnia Abdullah Mohammed Al-Hassan</t>
  </si>
  <si>
    <t>أمنية عبد الله محمد الحسن</t>
  </si>
  <si>
    <t>Qutoof Juma Ismail Mohammed</t>
  </si>
  <si>
    <t>قطوف جمعة إسماعيل محمد</t>
  </si>
  <si>
    <t>Rabha Abdelrahim Abdelkhaliq Hasab Al-Nabi</t>
  </si>
  <si>
    <t>رابحة عبد الرحيم عبد الخالق حسب النبي</t>
  </si>
  <si>
    <t>Rafaa Abdelghafar Makki Abdullah</t>
  </si>
  <si>
    <t>رفعاء عبد الغفار مكي عبد الله</t>
  </si>
  <si>
    <t>Rahaf Abdelwahab Mousa Abudra</t>
  </si>
  <si>
    <t>رهف عبد الوهاب موسى أبدرا</t>
  </si>
  <si>
    <t>Rama Al-Mu'tasim Ali Mohammed</t>
  </si>
  <si>
    <t>رامة المعتصم علي محمد</t>
  </si>
  <si>
    <t>Rana Omar Hamad Al-Neel Al-Zein</t>
  </si>
  <si>
    <t>رنا عمر حمد النيل الزين</t>
  </si>
  <si>
    <t>Rawaa Asim Yousif Awad Al-Karim</t>
  </si>
  <si>
    <t>رواء عاصم يوسف عوض الكريم</t>
  </si>
  <si>
    <t>Rawan Taj Al-Sirr Omar Al-Khalil</t>
  </si>
  <si>
    <t>روان تاج السر عمر الخليل</t>
  </si>
  <si>
    <t>Rayan Awad Al-Tayeb Al-Sheikh</t>
  </si>
  <si>
    <t>ريان عوض الطيب الشيخ</t>
  </si>
  <si>
    <t>Razaz Ali Damer Mousa</t>
  </si>
  <si>
    <t>رزاز علي ضامر موسى</t>
  </si>
  <si>
    <t>Reem Al-Badawi Abdelghafar AbdelLatif</t>
  </si>
  <si>
    <t>ريم البدوي عبد الغفار عبد اللطيف</t>
  </si>
  <si>
    <t>Reem Baha Al-Din Ali Mohammed</t>
  </si>
  <si>
    <t>ريم بهاء الدين علي محمد</t>
  </si>
  <si>
    <t>Renad Kamel Al-Siddiq Abdullah</t>
  </si>
  <si>
    <t>ريناد كامل الصديق عبد الله</t>
  </si>
  <si>
    <t>Ruaa Lotfi Abdelrahman Yousif</t>
  </si>
  <si>
    <t>رؤى لطفي عبد الرحمن يوسف</t>
  </si>
  <si>
    <t>Ruba Yousif Al-Awad Ahmed</t>
  </si>
  <si>
    <t>ربى يوسف العوض أحمد</t>
  </si>
  <si>
    <t>Saadiya Mohammed Ahmed Mohammed</t>
  </si>
  <si>
    <t>سعدية محمد أحمد محمد</t>
  </si>
  <si>
    <t>Safa Ata Al-Manan Abdelrahim Mabrouk</t>
  </si>
  <si>
    <t>صفا عطا المنان عبد الرحيم مبروك</t>
  </si>
  <si>
    <t>Safaa Jamal Al-Din Abdelmajid Othman</t>
  </si>
  <si>
    <t>Saja Abdelazim Al-Senousi Ahmed</t>
  </si>
  <si>
    <t>سجى عبد العظيم السنوسي أحمد</t>
  </si>
  <si>
    <t>Samaher Amara Mohammed Dawl</t>
  </si>
  <si>
    <t>سماهر عمارة محمد دول</t>
  </si>
  <si>
    <t>Samar Hamdi Abubakr Arman</t>
  </si>
  <si>
    <t>سمر حمدي أبابكر أرمان</t>
  </si>
  <si>
    <t>Samar Ismail Al-Musaed Al-Taher</t>
  </si>
  <si>
    <t>سمر إسماعيل المساعد الطاهر</t>
  </si>
  <si>
    <t>Samia Mohammed Abdullah Al-Douma</t>
  </si>
  <si>
    <t>سامية محمد عبد الله الدومة</t>
  </si>
  <si>
    <t>Sara Abdelmajid Hamed Ali</t>
  </si>
  <si>
    <t>سارة عبد المجيد حامد علي</t>
  </si>
  <si>
    <t>Sara Abdelqader Mustafa Mohammed</t>
  </si>
  <si>
    <t>سارة عبد القادر مصطفى محمد</t>
  </si>
  <si>
    <t>Sara Abdullah Al-Sheikh Mustafa</t>
  </si>
  <si>
    <t>سارة عبد الله الشيخ مصطفى</t>
  </si>
  <si>
    <t>Sara Abu Al-Qasim Nour Al-Daem Mohammed</t>
  </si>
  <si>
    <t>سارة أبو القاسم نور الدائم محمد</t>
  </si>
  <si>
    <t>Sara Salah Al-Din Awadallah Rizqallah</t>
  </si>
  <si>
    <t>سارة صلاح الدين عوض الله رزق الله</t>
  </si>
  <si>
    <t>Sara Taj Al-Sirr Mohammed Ali Suleiman</t>
  </si>
  <si>
    <t>سارة تاج السر محمد علي سليمان</t>
  </si>
  <si>
    <t>Shaden Guraib Allah Hussein Elias</t>
  </si>
  <si>
    <t>شادن قريب الله حسين إلياس</t>
  </si>
  <si>
    <t>Shahad Abdelbadee Awad Abdelqader</t>
  </si>
  <si>
    <t>شهد عبد البديع عوض عبد القادر</t>
  </si>
  <si>
    <t>Shahad Fath Al-Rahman Nour Al-Daem Mohammed</t>
  </si>
  <si>
    <t>شهد فتح الرحمن نور الدائم محمد</t>
  </si>
  <si>
    <t>Shahad Munir Abdelhamid Othman</t>
  </si>
  <si>
    <t>شهد منير عبد الحميد عثمان</t>
  </si>
  <si>
    <t>Shaimaa Ali Abdelwahid Ali</t>
  </si>
  <si>
    <t>شيماء علي عبد الواحد علي</t>
  </si>
  <si>
    <t>Shaimaa Mohammed Ahmed AbdelSalam</t>
  </si>
  <si>
    <t>شيماء محمد أحمد عبد السلام</t>
  </si>
  <si>
    <t>Shajan Atif Qasim Ibrahim</t>
  </si>
  <si>
    <t>شجن عاطف قاسم إبراهيم</t>
  </si>
  <si>
    <t>Souda Ibrahim Khalid Al-Naeem</t>
  </si>
  <si>
    <t>سودة إبراهيم خالد النعيم</t>
  </si>
  <si>
    <t>Tarteel Walid Ali Abdelmajid</t>
  </si>
  <si>
    <t>ترتيل وليد علي عبد المجيد</t>
  </si>
  <si>
    <t>Tasabeeh Hajo Al-Toom Ismail</t>
  </si>
  <si>
    <t>تسابيح حاج التوم إسماعيل</t>
  </si>
  <si>
    <t>Tibyan Mohammed Ali Mohammed Ahmed</t>
  </si>
  <si>
    <t>تبيان محمد علي محمد أحمد</t>
  </si>
  <si>
    <t>Tibyan Saif Al-Din Mohammed Awad</t>
  </si>
  <si>
    <t>تبيان سيف الدين محمد عوض</t>
  </si>
  <si>
    <t>Tina Fathi Bashir Ahmed</t>
  </si>
  <si>
    <t>تينا فتحي بشير أحمد</t>
  </si>
  <si>
    <t>Waad Mustafa Mousa Mohammed</t>
  </si>
  <si>
    <t>وعد مصطفى موسى محمد</t>
  </si>
  <si>
    <t>Wafaa Yasser Hassan Salem</t>
  </si>
  <si>
    <t>وفاء ياسر حسن سالم</t>
  </si>
  <si>
    <t>Walaa Abdelmahmoud Awad Al-Karim Adam</t>
  </si>
  <si>
    <t>ولاء عبد محمود عوض الكريم آدم</t>
  </si>
  <si>
    <t>Wijdan Kamal Ali Hassan</t>
  </si>
  <si>
    <t>وجدان كمال علي حسن</t>
  </si>
  <si>
    <t>Yaqeen Yahya Abdelkarim Ali</t>
  </si>
  <si>
    <t>يقين يحيى عبد الكريم علي</t>
  </si>
  <si>
    <t>Yusra Mohammed Al-Amin Ahmed</t>
  </si>
  <si>
    <t>يسرى محمد الأمين أحمد</t>
  </si>
  <si>
    <t>Zainab Al-Fatih Al-Alam Al-Zubair</t>
  </si>
  <si>
    <t>زينب الفاتح العالم الزبير</t>
  </si>
  <si>
    <t>Zainab Wasil Hassan Mohammed Ahmed</t>
  </si>
  <si>
    <t>زينب واصل حسن محمد أحمد</t>
  </si>
  <si>
    <t>المثانى أحمد إسماعيل حامد</t>
  </si>
  <si>
    <t>Pas</t>
  </si>
  <si>
    <t>English Language Skills  I</t>
  </si>
  <si>
    <t>English Language Skills II</t>
  </si>
  <si>
    <t>Introduction to Sociology &amp; Psychology</t>
  </si>
  <si>
    <t>Mathematics</t>
  </si>
  <si>
    <t>Medical Physics</t>
  </si>
  <si>
    <t>University Study Skills</t>
  </si>
  <si>
    <t>Human Biology</t>
  </si>
  <si>
    <t>Medical Terminology</t>
  </si>
  <si>
    <t>صفاء جمال الدين عبد الماجد عثمان</t>
  </si>
  <si>
    <t>Ruqayyah Mansour Ibrahim Al-Sheikh</t>
  </si>
  <si>
    <t>رقية منصور إبراهيم الشيخ</t>
  </si>
  <si>
    <t>Pass</t>
  </si>
  <si>
    <t>Ruwa Awad Al-Karim Al-Bashir Mohammed</t>
  </si>
  <si>
    <t>رؤى عوض الكريم البشير محمد</t>
  </si>
  <si>
    <t>Safaa Qurashi Al-Mubarak Suleiman</t>
  </si>
  <si>
    <t>صفاء قرشي المبارك سليمان</t>
  </si>
  <si>
    <t>Samaher Asim Mohammed Izeirq</t>
  </si>
  <si>
    <t>سماهر عاصم محمد ازيرق</t>
  </si>
  <si>
    <t>Sanabel Amer Adam Haroun</t>
  </si>
  <si>
    <t>سنابل عامر آدم هارون</t>
  </si>
  <si>
    <t>Sarah Ali Hassan Mohammed</t>
  </si>
  <si>
    <t>سارة علي حسن محمد</t>
  </si>
  <si>
    <t>Sarah Imran Ubaid Hussein</t>
  </si>
  <si>
    <t>سارة عمران عبيد حسين</t>
  </si>
  <si>
    <t>Sariya Samri Al-Khidr Al-Sheikh</t>
  </si>
  <si>
    <t>سارية سامري الخضر الشيخ</t>
  </si>
  <si>
    <t>Shahad Mahjoub Mahmoud Mahjoub</t>
  </si>
  <si>
    <t>شهد محجوب محمود محجوب</t>
  </si>
  <si>
    <t>Shahad Mohammed Saleh Abuzaid Mohammed</t>
  </si>
  <si>
    <t>شهد محمد صالح أبوزيد محمد</t>
  </si>
  <si>
    <t>Shaimaa Abdullah Othman Abdulaziz</t>
  </si>
  <si>
    <t>شيماء عبد الله عثمان عبد العزيز</t>
  </si>
  <si>
    <t>Sulafa Ahmed Abkar Hamed</t>
  </si>
  <si>
    <t>سلافة أحمد أبكر حامد</t>
  </si>
  <si>
    <t>Tarteel Yasser Abdullah Al-Hassan</t>
  </si>
  <si>
    <t>ترتيل ياسر عبد الله الحسن</t>
  </si>
  <si>
    <t>Tasabeeh Kamal Abdullah Ahmed</t>
  </si>
  <si>
    <t>تسابيح كمال عبد الله أحمد</t>
  </si>
  <si>
    <t>Tibyan Atef Issa</t>
  </si>
  <si>
    <t>تبيان عاطف عيسى</t>
  </si>
  <si>
    <t>Ura Al-Waseela Al-Naeem Mohammed</t>
  </si>
  <si>
    <t>عروة الوسيلة النعيم محمد</t>
  </si>
  <si>
    <t>Waad Abu Bakr Othman Mohammed</t>
  </si>
  <si>
    <t>وعد أبو بكر عثمان محمد</t>
  </si>
  <si>
    <t>Waad Ahmed Mohammedin Hamed</t>
  </si>
  <si>
    <t>وعد أحمد محمدين حامد</t>
  </si>
  <si>
    <t>Wasan Issam Al-Din Al-Sadiq Mohammed</t>
  </si>
  <si>
    <t>وسن عصام الدين الصادق محمد</t>
  </si>
  <si>
    <t>Wateen Sir Al-Khatim Omar Mohammed</t>
  </si>
  <si>
    <t>وتين سر الختم عمر محمد</t>
  </si>
  <si>
    <t>Wisam Abdullah Ahmed Mohammed</t>
  </si>
  <si>
    <t>وسام عبد الله أحمد محمد</t>
  </si>
  <si>
    <t>Zainab Abather Al-Tayeb Fadlallah</t>
  </si>
  <si>
    <t>زينب أبا ذر الطيب فضل الله</t>
  </si>
  <si>
    <t>Zainab Ali Suleiman Babiker</t>
  </si>
  <si>
    <t>زينب علي سليمان بابكر</t>
  </si>
  <si>
    <t>Abdulmunim Ismail Adam Ismail</t>
  </si>
  <si>
    <t>عبد المنعم إسماعيل آدم إسماعيل</t>
  </si>
  <si>
    <t>Abeer Mohammed Harran Mohammed</t>
  </si>
  <si>
    <t>عبير محمد حران محمد</t>
  </si>
  <si>
    <t>Abrar Anas Abdulghani Mohammed</t>
  </si>
  <si>
    <t>أبرار أنس عبد الغني محمد</t>
  </si>
  <si>
    <t>Abu Al-Qasim Al-Tahir Abdullah Abdulrahman</t>
  </si>
  <si>
    <t>أبو القاسم الطاهر عبد الله عبد الرحمن</t>
  </si>
  <si>
    <t>Adam Mukhtar Mohammed Ahmed</t>
  </si>
  <si>
    <t>آدم مختار محمد أحمد</t>
  </si>
  <si>
    <t>Afrah Noreen Mohammed Mohammed</t>
  </si>
  <si>
    <t>أفراح نورين محمد محمد</t>
  </si>
  <si>
    <t>Ahmed Abdulsalam Ahmed Abdulrahim</t>
  </si>
  <si>
    <t>أحمد عبد السلام أحمد عبد الرحيم</t>
  </si>
  <si>
    <t>Ahmed Awad Mohammed Eid</t>
  </si>
  <si>
    <t>أحمد عوض محمد عيد</t>
  </si>
  <si>
    <t>Ahmed Bakri Al-Hassan Mohammed</t>
  </si>
  <si>
    <t>أحمد بكري الحسن محمد</t>
  </si>
  <si>
    <t>Ahmed Mohiuddin Mohammed Abdullah</t>
  </si>
  <si>
    <t>أحمد محي الدين محمد عبد الله</t>
  </si>
  <si>
    <t>Ahmed Saleh Ahmed Mohammed</t>
  </si>
  <si>
    <t>أحمد صالح أحمد محمد</t>
  </si>
  <si>
    <t>Aisha Al-Humaira Mohammed Kamil Sayed</t>
  </si>
  <si>
    <t>عائشة الحميراء محمد كامل سيد</t>
  </si>
  <si>
    <t>Akram Mahmoud Mohammed Suleiman</t>
  </si>
  <si>
    <t>أكرم محمود محمد سليمان</t>
  </si>
  <si>
    <t>Al-Amira Maryam Amir Awad Mohammed</t>
  </si>
  <si>
    <t>الأميرة مريم أمير عوض محمد</t>
  </si>
  <si>
    <t>Al-Fa Hafiz Malik Hussein</t>
  </si>
  <si>
    <t>الفة حافظ مالك حسين</t>
  </si>
  <si>
    <t>Al-Mu'taman Juma Abdulrahman Abshar</t>
  </si>
  <si>
    <t>المؤتمن جمعة عبد الرحمن أبشر</t>
  </si>
  <si>
    <t>Aqiq Al-Sadiq Ahmed Adam</t>
  </si>
  <si>
    <t>عقيق الصادق أحمد آدم</t>
  </si>
  <si>
    <t>Asmaa Salah Ali Mohammed</t>
  </si>
  <si>
    <t>أسماء صلاح علي محمد</t>
  </si>
  <si>
    <t>Aya Anas Mubarak Mohammed</t>
  </si>
  <si>
    <t>آية أنس مبارك محمد</t>
  </si>
  <si>
    <t>Aziza Hamed Mohammed Ibrahim</t>
  </si>
  <si>
    <t>عزيزة حامد محمد إبراهيم</t>
  </si>
  <si>
    <t>Bara'a Salah Ali Abdulqadir</t>
  </si>
  <si>
    <t>براءة صلاح علي عبد القادر</t>
  </si>
  <si>
    <t>Bisan Al-Alish Mohammed Al-Hassan</t>
  </si>
  <si>
    <t>بيسان العليش محمد الحسن</t>
  </si>
  <si>
    <t>Dania Khalid Abdulqadir Ali</t>
  </si>
  <si>
    <t>دانية خالد عبد القادر علي</t>
  </si>
  <si>
    <t>Ethar Awad Ibn Auf Al-Hassan</t>
  </si>
  <si>
    <t>إيثار عوض ابن عوف الحسن</t>
  </si>
  <si>
    <t>Ethar Jamal Ahmed Ali</t>
  </si>
  <si>
    <t>إيثار جمال أحمد علي</t>
  </si>
  <si>
    <t>Fatima Al-Zahra Mohammed Al-Mubarak Zain Al-Abidin</t>
  </si>
  <si>
    <t>فاطمة الزهراء محمد المبارك زين العابدين</t>
  </si>
  <si>
    <t>Fatima Babiker Hassan Ali</t>
  </si>
  <si>
    <t>فاطمة بابكر حسن علي</t>
  </si>
  <si>
    <t>Fatima Hussein Abduldaim Ahmed</t>
  </si>
  <si>
    <t>فاطمة حسين عبد الدائم أحمد</t>
  </si>
  <si>
    <t>Ghaida Ahmed Mohammed Jarn</t>
  </si>
  <si>
    <t>غيداء أحمد محمد جرن</t>
  </si>
  <si>
    <t>Ghasaq Abdullah Bashir Yousef</t>
  </si>
  <si>
    <t>غسق عبد الله بشير يوسف</t>
  </si>
  <si>
    <t>Hamsa Hassan Ali Al-Sadiq</t>
  </si>
  <si>
    <t>همسة حسن علي الصادق</t>
  </si>
  <si>
    <t>Hind Abdulmalik Abdullah Haroun</t>
  </si>
  <si>
    <t>هند عبد الملك عبد الله هارون</t>
  </si>
  <si>
    <t>Ibtihal Suleiman Al-Mahi Mohammed</t>
  </si>
  <si>
    <t>ابتهال سليمان الماحي محمد</t>
  </si>
  <si>
    <t>Ikram Mohammed Adam Ibrahim</t>
  </si>
  <si>
    <t>إكرام محمد آدم إبراهيم</t>
  </si>
  <si>
    <t>Ilham Qamaruddin Mohammed Haroun</t>
  </si>
  <si>
    <t>إلهام قمر الدين محمد هارون</t>
  </si>
  <si>
    <t>Inas Al-Bishra Al-Faki Barakat</t>
  </si>
  <si>
    <t>إيناس البشرى الفكي بركات</t>
  </si>
  <si>
    <t>Inas Saeed Mohammed Hasaballah</t>
  </si>
  <si>
    <t>إيناس سعيد محمد حسب الله</t>
  </si>
  <si>
    <t>Ishtiaq Ahmed Yousif Idris</t>
  </si>
  <si>
    <t>اشتياق أحمد يوسف إدريس</t>
  </si>
  <si>
    <t>Kawthar Abdulazim Abduljabbar Fadl Al-Mawla</t>
  </si>
  <si>
    <t>كوثر عبد العظيم عبد الجبار فضل المولى</t>
  </si>
  <si>
    <t>Khalid Saif Al-Din Mohammed Al-Hassan</t>
  </si>
  <si>
    <t>خالد سيف الدين محمد الحسن</t>
  </si>
  <si>
    <t>Ladan Shihab Al-Din Othman Mohammed</t>
  </si>
  <si>
    <t>لدن شهاب الدين عثمان محمد</t>
  </si>
  <si>
    <t>Lamia Adam Mohammed Abkar</t>
  </si>
  <si>
    <t>لمياء آدم محمد أبكر</t>
  </si>
  <si>
    <t>Lina Al-Khair Abdulrahim Abdulsadiq</t>
  </si>
  <si>
    <t>لينا الخير عبد الرحيم عبد الصادق</t>
  </si>
  <si>
    <t>Lina Mohammed Abduljalil Mohammed</t>
  </si>
  <si>
    <t>لينا محمد عبد الجليل محمد</t>
  </si>
  <si>
    <t>Lujain Amin Al-Sheikh Khidr</t>
  </si>
  <si>
    <t>لجين أمين الشيخ خضر</t>
  </si>
  <si>
    <t>Mab Qasim Al-Tayeb Ibrahim</t>
  </si>
  <si>
    <t>مآب قاسم الطيب إبراهيم</t>
  </si>
  <si>
    <t>Maha Abdullah Mohammed Ali</t>
  </si>
  <si>
    <t>مها عبد الله محمد علي</t>
  </si>
  <si>
    <t>Manasik Idris Musa Adam</t>
  </si>
  <si>
    <t>مناسك إدريس موسى آدم</t>
  </si>
  <si>
    <t>Menna Atef Abdulqadir Abdulrahman</t>
  </si>
  <si>
    <t>منة عاطف عبد القادر عبد الرحمن</t>
  </si>
  <si>
    <t>Mihad Abdulrazzaq Al-Sheikh Abdulrazzaq</t>
  </si>
  <si>
    <t>مهاد عبد الرزاق الشيخ عبد الرزاق</t>
  </si>
  <si>
    <t>Mihad Badr Al-Din Mohammed Babiker</t>
  </si>
  <si>
    <t>مهاد بدر الدين محمد بابكر</t>
  </si>
  <si>
    <t>Minas Ibrahim Khater Fitr</t>
  </si>
  <si>
    <t>ميناس إبراهيم خاطر فطر</t>
  </si>
  <si>
    <t>Mishkat Mohammed Al-Hassan Abdulmahmoud</t>
  </si>
  <si>
    <t>مشكاة محمد الحسن عبد المحمود</t>
  </si>
  <si>
    <t>Mithaq Al-Imam Mohammed Fadl Al-Karim</t>
  </si>
  <si>
    <t>ميثاق الإمام محمد فضل الكريم</t>
  </si>
  <si>
    <t>Moayad Yasser Hasab Al-Baqi Mansour</t>
  </si>
  <si>
    <t>مؤيد ياسر حسب الباقي منصور</t>
  </si>
  <si>
    <t>Mohammed Abdullah Taha Othman</t>
  </si>
  <si>
    <t>محمد عبد الله طه عثمان</t>
  </si>
  <si>
    <t>Mohammed Al-Noor Mohammed Al-Ubaid</t>
  </si>
  <si>
    <t>محمد النور محمد العبيد</t>
  </si>
  <si>
    <t>Mohammed Bashir Mohammed Adam</t>
  </si>
  <si>
    <t>محمد بشير محمد آدم</t>
  </si>
  <si>
    <t>Mohammed Khalid Hamed Mohammed Saeed</t>
  </si>
  <si>
    <t>محمد خالد حامد محمد سعيد</t>
  </si>
  <si>
    <t>Mohammed Muawiya Suleiman Mohammed Zain</t>
  </si>
  <si>
    <t>محمد معاوية سليمان محمد زين</t>
  </si>
  <si>
    <t>Mohammed Omar Fadlallah Al-Ubaid</t>
  </si>
  <si>
    <t>محمد عمر فضل الله العبيد</t>
  </si>
  <si>
    <t>Mohammed Rahmatullah Abdul-Samad Hamed</t>
  </si>
  <si>
    <t>محمد رحمة الله عبد الصمد حامد</t>
  </si>
  <si>
    <t>Mohiuddin Omar Abkar Idris</t>
  </si>
  <si>
    <t>محي الدين عمر أبكر إدريس</t>
  </si>
  <si>
    <t>Mujtaba Adam Mohammed Yahya</t>
  </si>
  <si>
    <t>مجتبى آدم محمد يحيى</t>
  </si>
  <si>
    <t>Mujtaba Muhammad Muhammad Ali Ahmad</t>
  </si>
  <si>
    <t>مجتبى محمد محمد علي أحمد</t>
  </si>
  <si>
    <t>Muntaha Mahjoub Adam Yousif</t>
  </si>
  <si>
    <t>منتهى محجوب آدم يوسف</t>
  </si>
  <si>
    <t>Mustafa Awad Al-Jaid Mustafa Abu Al-Qasim</t>
  </si>
  <si>
    <t>مصطفى عوض الجيد مصطفى أبو القاسم</t>
  </si>
  <si>
    <t>Muzn Abdulrahman Abdulqadir Mudathir</t>
  </si>
  <si>
    <t>مزن عبد الرحمن عبد القادر مدثر</t>
  </si>
  <si>
    <t>Nabila Mubarak Al-Tayeb Babiker</t>
  </si>
  <si>
    <t>نبيلة مبارك الطيب بابكر</t>
  </si>
  <si>
    <t>Nada Ramli Abdulrahman Mohammed</t>
  </si>
  <si>
    <t>ندى رملي عبد الرحمن محمد</t>
  </si>
  <si>
    <t>Nadia Yasser Ali Othman</t>
  </si>
  <si>
    <t>نادية ياسر علي عثمان</t>
  </si>
  <si>
    <t>Nawadir Fadlallah Juma Hamed</t>
  </si>
  <si>
    <t>نوادر فضل الله جمعة حامد</t>
  </si>
  <si>
    <t>Nibras Adam Ahmed Adam</t>
  </si>
  <si>
    <t>نبراس آدم أحمد آدم</t>
  </si>
  <si>
    <t>Ni'ma Ahmed Akkasha Abdullah</t>
  </si>
  <si>
    <t>نعمة أحمد عكاشة عبد الله</t>
  </si>
  <si>
    <t>Noon Mohammed Al-Hassan Abdullah Hamed</t>
  </si>
  <si>
    <t>نون محمد الحسن عبد الله حامد</t>
  </si>
  <si>
    <t>Qusay Ali Mohammed Ali</t>
  </si>
  <si>
    <t>قصي علي محمد علي</t>
  </si>
  <si>
    <t>Rahaf Qism Al-Sayed Fadl Al-Sayed Ahmed</t>
  </si>
  <si>
    <t>رهف قسم السيد فضل السيد أحمد</t>
  </si>
  <si>
    <t>Raheeq Abdulqadir Abdulrahman Mohammed Ahmed</t>
  </si>
  <si>
    <t>رحيق عبد القادر عبد الرحمن محمد أحمد</t>
  </si>
  <si>
    <t>Raheeq Ahmed Ibrahim Abdullah</t>
  </si>
  <si>
    <t>رحيق أحمد إبراهيم عبد الله</t>
  </si>
  <si>
    <t>Raja Al-Jaili Al-Ajab Khair Al-Sayed</t>
  </si>
  <si>
    <t>رجاء الجيلي العجب خير السيد</t>
  </si>
  <si>
    <t>Raneem Mohammed Al-Amin Abduljalil</t>
  </si>
  <si>
    <t>رنيم محمد الأمين عبد الجليل</t>
  </si>
  <si>
    <t>Rawan Abu Aqla Abdulqayyum Abdullah</t>
  </si>
  <si>
    <t>روان أبو عاقلة عبد القيوم عبد الله</t>
  </si>
  <si>
    <t>Rawda Hassan Juma Koko</t>
  </si>
  <si>
    <t>روضة حسن جمعة كوكو</t>
  </si>
  <si>
    <t>Rawia Al-Tahir Abdulwahid Ibrahim</t>
  </si>
  <si>
    <t>راوية الطاهر عبد الواحد إبراهيم</t>
  </si>
  <si>
    <t>Rawiya Abu Ubaida Hassan Mohammed</t>
  </si>
  <si>
    <t>راوية أبو عبيدة حسن محمد</t>
  </si>
  <si>
    <t>Rayan Abdulraouf Dafallah Jadin</t>
  </si>
  <si>
    <t>ريان عبد الرؤوف دفع الله جادين</t>
  </si>
  <si>
    <t>Rayan Hassan Mohammed Abdullah</t>
  </si>
  <si>
    <t>ريان حسن محمد عبد الله</t>
  </si>
  <si>
    <t>Razan Abdulaziz Awad Al-Sayed Abduljabbar</t>
  </si>
  <si>
    <t>رزان عبد العزيز عوض السيد عبد الجبار</t>
  </si>
  <si>
    <t>Razan Ali Arsad Mohammed</t>
  </si>
  <si>
    <t>رزان علي أرصد محمد</t>
  </si>
  <si>
    <t>Reem Omar Al-Mardhi Al-Hussein</t>
  </si>
  <si>
    <t>ريم عمر المرضي الحسين</t>
  </si>
  <si>
    <t>Rehab Ata Al-Rahman Mohammed Ahmed</t>
  </si>
  <si>
    <t>رحاب عطا الرحمن محمد أحمد</t>
  </si>
  <si>
    <t>Reil Madani Al-Tayeb Jadallah</t>
  </si>
  <si>
    <t>ريل مدني الطيب جاد الله</t>
  </si>
  <si>
    <t>Rima Mohammedin Hassan Mohammedin</t>
  </si>
  <si>
    <t>ريما محمدين حسن محمدين</t>
  </si>
  <si>
    <t>Ritaj Adel Haider Mohammed</t>
  </si>
  <si>
    <t>ريتاج عادل حيدر محمد</t>
  </si>
  <si>
    <t>Ronaq Haider Yousif Abdullah</t>
  </si>
  <si>
    <t>رونق حيدر يوسف عبد الله</t>
  </si>
  <si>
    <t>Ronaq Yousif Al-Mahdi Mohammed</t>
  </si>
  <si>
    <t>رونق يوسف المهدي محمد</t>
  </si>
  <si>
    <t>Rufaidah Ibrahim Omar Abkar</t>
  </si>
  <si>
    <t>رفيدة إبراهيم عمر أبكر</t>
  </si>
  <si>
    <t>رزان عبد القادر محمد</t>
  </si>
  <si>
    <t>Razan Abdelqader Mohammed</t>
  </si>
  <si>
    <t>منى جمال عبد الرحمن</t>
  </si>
  <si>
    <t>Mona Jamal Abdelrahman</t>
  </si>
  <si>
    <t>فاطمة صلاح محمد سعيد</t>
  </si>
  <si>
    <t>Fatima Salah Mohammed Saeed</t>
  </si>
  <si>
    <t>أسماء حامد عبد العال عبد الغفار</t>
  </si>
  <si>
    <t>Asmaa Hamid Abdelal Abdelghaffar</t>
  </si>
  <si>
    <t>Nesma Tariq Mustafa Mohammed Ali</t>
  </si>
  <si>
    <t>نسمة طارق مصطفى محمد علي</t>
  </si>
  <si>
    <t>شفق فيصل عبد الرحيم عثمان</t>
  </si>
  <si>
    <t>Shafaq Faisal Abdelrahim Osman</t>
  </si>
  <si>
    <t>ابتهاج محمد علي محمد</t>
  </si>
  <si>
    <t>Ibtihaj Mohammed Ali Mohammed</t>
  </si>
  <si>
    <t>إيلاف قسم السيد فضل الله فضل المولى</t>
  </si>
  <si>
    <t>Eilaf Qasm El-Sayyid Fadlallah Fadlmula</t>
  </si>
  <si>
    <t>Bara'a Abdelaziz Babiker</t>
  </si>
  <si>
    <t>براءة عبد العزيز بابكر</t>
  </si>
  <si>
    <t>تنزيل عمر مالك محمد أحمد</t>
  </si>
  <si>
    <t>Tanzil Omer Malik Mohammed Ahmed</t>
  </si>
  <si>
    <t>مزار محمد شمس الدين عثمان</t>
  </si>
  <si>
    <t>Mazar Mohammed Shams Eldin Osman</t>
  </si>
  <si>
    <t>الاسم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</si>
</sst>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rgb="FFE8F5E9"/>
      </patternFill>
    </fill>
    <fill>
      <patternFill patternType="solid">
        <fgColor rgb="FFBDD7EE"/>
        <bgColor rgb="FFD6D6D6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FF9C4"/>
      </patternFill>
    </fill>
    <fill>
      <patternFill patternType="solid">
        <fgColor rgb="FFFFE0E0"/>
        <bgColor rgb="FFFFF3E0"/>
      </patternFill>
    </fill>
    <fill>
      <patternFill patternType="solid">
        <fgColor rgb="FF1F3864"/>
        <bgColor rgb="FF15274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4" tint="0.79998168889431442"/>
        </patternFill>
      </fill>
    </dxf>
    <dxf>
      <font>
        <color theme="1"/>
      </font>
      <fill>
        <patternFill>
          <bgColor rgb="FFFFE0E0"/>
        </patternFill>
      </fill>
    </dxf>
    <dxf>
      <font>
        <color theme="1"/>
      </font>
      <fill>
        <patternFill>
          <bgColor rgb="FFFFF2CC"/>
        </patternFill>
      </fill>
    </dxf>
    <dxf>
      <font>
        <color theme="1"/>
      </font>
      <fill>
        <patternFill>
          <bgColor rgb="FFDEEAF1"/>
        </patternFill>
      </fill>
    </dxf>
    <dxf>
      <font>
        <color theme="1"/>
      </font>
      <fill>
        <patternFill>
          <bgColor rgb="FFE2EFDA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E0E0"/>
        </patternFill>
      </fill>
    </dxf>
    <dxf>
      <font>
        <color theme="1"/>
      </font>
      <fill>
        <patternFill>
          <bgColor rgb="FFFFF2CC"/>
        </patternFill>
      </fill>
    </dxf>
    <dxf>
      <font>
        <color theme="1"/>
      </font>
      <fill>
        <patternFill>
          <bgColor rgb="FFDEEAF1"/>
        </patternFill>
      </fill>
    </dxf>
    <dxf>
      <font>
        <color theme="1"/>
      </font>
      <fill>
        <patternFill>
          <bgColor rgb="FFE2EFDA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E0E0"/>
        </patternFill>
      </fill>
    </dxf>
    <dxf>
      <font>
        <color theme="1"/>
      </font>
      <fill>
        <patternFill>
          <bgColor rgb="FFFFF2CC"/>
        </patternFill>
      </fill>
    </dxf>
    <dxf>
      <font>
        <color theme="1"/>
      </font>
      <fill>
        <patternFill>
          <bgColor rgb="FFDEEAF1"/>
        </patternFill>
      </fill>
    </dxf>
    <dxf>
      <font>
        <color theme="1"/>
      </font>
      <fill>
        <patternFill>
          <bgColor rgb="FFE2EFDA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rgb="FFFFE0E0"/>
        </patternFill>
      </fill>
    </dxf>
    <dxf>
      <font>
        <color theme="1"/>
      </font>
      <fill>
        <patternFill>
          <bgColor rgb="FFFFF2CC"/>
        </patternFill>
      </fill>
    </dxf>
    <dxf>
      <font>
        <color theme="1"/>
      </font>
      <fill>
        <patternFill>
          <bgColor rgb="FFDEEAF1"/>
        </patternFill>
      </fill>
    </dxf>
    <dxf>
      <font>
        <color theme="1"/>
      </font>
      <fill>
        <patternFill>
          <bgColor rgb="FFE2EFDA"/>
        </patternFill>
      </fill>
    </dxf>
  </dxfs>
  <tableStyles count="0" defaultTableStyle="TableStyleMedium2" defaultPivotStyle="PivotStyleLight16"/>
  <colors>
    <mruColors>
      <color rgb="FFD579D1"/>
      <color rgb="FFFFE0E0"/>
      <color rgb="FFFFF2CC"/>
      <color rgb="FFDEEAF1"/>
      <color rgb="FFBDD7EE"/>
      <color rgb="FFE2EFDA"/>
      <color rgb="FFF2F2F2"/>
      <color rgb="FFD9E1F2"/>
      <color rgb="FF2F5597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E0D8A1-B1B7-4A01-99D8-7C6EE029574E}">
  <we:reference id="wa103863850" version="1.1.0.0" store="en-US" storeType="OMEX"/>
  <we:alternateReferences>
    <we:reference id="wa103863850" version="1.1.0.0" store="wa103863850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3908-DD33-4A02-874F-BD97924DFBF6}">
  <dimension ref="A1:Y273"/>
  <sheetViews>
    <sheetView tabSelected="1" zoomScale="90" zoomScaleNormal="90" workbookViewId="0">
      <selection activeCell="B6" sqref="B6"/>
    </sheetView>
  </sheetViews>
  <sheetFormatPr defaultRowHeight="14.25"/>
  <cols>
    <col min="1" max="1" width="11.875" style="1" bestFit="1" customWidth="1"/>
    <col min="2" max="2" width="44.75" bestFit="1" customWidth="1"/>
    <col min="3" max="3" width="44.75" customWidth="1"/>
    <col min="4" max="4" width="7.875" customWidth="1"/>
    <col min="5" max="5" width="8" bestFit="1" customWidth="1"/>
    <col min="6" max="6" width="12" hidden="1" customWidth="1"/>
    <col min="7" max="14" width="6.625" style="1" customWidth="1"/>
    <col min="15" max="15" width="6" style="1" bestFit="1" customWidth="1"/>
    <col min="16" max="20" width="6.625" style="1" customWidth="1"/>
    <col min="21" max="21" width="5.875" style="1" customWidth="1"/>
    <col min="23" max="23" width="12.5" bestFit="1" customWidth="1"/>
    <col min="24" max="24" width="6.875" bestFit="1" customWidth="1"/>
    <col min="25" max="25" width="7.625" bestFit="1" customWidth="1"/>
  </cols>
  <sheetData>
    <row r="1" spans="1:25" ht="15">
      <c r="A1" s="18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W1" s="14" t="s">
        <v>25</v>
      </c>
      <c r="X1" s="14" t="s">
        <v>24</v>
      </c>
      <c r="Y1" s="14" t="s">
        <v>26</v>
      </c>
    </row>
    <row r="2" spans="1:25" ht="15">
      <c r="A2" s="19" t="s">
        <v>0</v>
      </c>
      <c r="B2" s="19" t="s">
        <v>1</v>
      </c>
      <c r="C2" s="26" t="s">
        <v>574</v>
      </c>
      <c r="D2" s="19" t="s">
        <v>4</v>
      </c>
      <c r="E2" s="19" t="s">
        <v>11</v>
      </c>
      <c r="F2" s="21" t="s">
        <v>12</v>
      </c>
      <c r="G2" s="17" t="s">
        <v>9</v>
      </c>
      <c r="H2" s="17"/>
      <c r="I2" s="17"/>
      <c r="J2" s="17"/>
      <c r="K2" s="17"/>
      <c r="L2" s="17"/>
      <c r="M2" s="17"/>
      <c r="N2" s="17"/>
      <c r="O2" s="17"/>
      <c r="P2" s="17" t="s">
        <v>8</v>
      </c>
      <c r="Q2" s="17"/>
      <c r="R2" s="17"/>
      <c r="S2" s="17"/>
      <c r="T2" s="17"/>
      <c r="U2" s="17"/>
      <c r="W2" s="5" t="s">
        <v>18</v>
      </c>
      <c r="X2" s="4" t="s">
        <v>14</v>
      </c>
      <c r="Y2" s="5">
        <v>4</v>
      </c>
    </row>
    <row r="3" spans="1:25" ht="15" customHeight="1">
      <c r="A3" s="19"/>
      <c r="B3" s="19"/>
      <c r="C3" s="24"/>
      <c r="D3" s="19"/>
      <c r="E3" s="19"/>
      <c r="F3" s="22"/>
      <c r="G3" s="3" t="s">
        <v>2</v>
      </c>
      <c r="H3" s="3" t="s">
        <v>3</v>
      </c>
      <c r="I3" s="3" t="s">
        <v>302</v>
      </c>
      <c r="J3" s="3" t="s">
        <v>303</v>
      </c>
      <c r="K3" s="3" t="s">
        <v>304</v>
      </c>
      <c r="L3" s="3" t="s">
        <v>305</v>
      </c>
      <c r="M3" s="3" t="s">
        <v>306</v>
      </c>
      <c r="N3" s="3" t="s">
        <v>307</v>
      </c>
      <c r="O3" s="20" t="s">
        <v>4</v>
      </c>
      <c r="P3" s="3" t="s">
        <v>5</v>
      </c>
      <c r="Q3" s="3" t="s">
        <v>6</v>
      </c>
      <c r="R3" s="3" t="s">
        <v>7</v>
      </c>
      <c r="S3" s="3" t="s">
        <v>308</v>
      </c>
      <c r="T3" s="3" t="s">
        <v>309</v>
      </c>
      <c r="U3" s="20" t="s">
        <v>4</v>
      </c>
      <c r="W3" s="7" t="s">
        <v>19</v>
      </c>
      <c r="X3" s="6" t="s">
        <v>15</v>
      </c>
      <c r="Y3" s="7">
        <v>3.5</v>
      </c>
    </row>
    <row r="4" spans="1:25" s="1" customFormat="1" ht="14.25" customHeight="1">
      <c r="A4" s="19"/>
      <c r="B4" s="19"/>
      <c r="C4" s="25"/>
      <c r="D4" s="19"/>
      <c r="E4" s="19"/>
      <c r="F4" s="23"/>
      <c r="G4" s="2">
        <v>2</v>
      </c>
      <c r="H4" s="2">
        <v>4</v>
      </c>
      <c r="I4" s="2">
        <v>4</v>
      </c>
      <c r="J4" s="2">
        <v>4</v>
      </c>
      <c r="K4" s="2">
        <v>2</v>
      </c>
      <c r="L4" s="2">
        <v>2</v>
      </c>
      <c r="M4" s="2">
        <v>2</v>
      </c>
      <c r="N4" s="2">
        <v>2</v>
      </c>
      <c r="O4" s="20"/>
      <c r="P4" s="2">
        <v>3</v>
      </c>
      <c r="Q4" s="2">
        <v>2</v>
      </c>
      <c r="R4" s="2">
        <v>4</v>
      </c>
      <c r="S4" s="2">
        <v>4</v>
      </c>
      <c r="T4" s="2">
        <v>2</v>
      </c>
      <c r="U4" s="20"/>
      <c r="W4" s="9" t="s">
        <v>20</v>
      </c>
      <c r="X4" s="8" t="s">
        <v>16</v>
      </c>
      <c r="Y4" s="9">
        <v>3</v>
      </c>
    </row>
    <row r="5" spans="1:25">
      <c r="A5" s="1">
        <v>1100305423</v>
      </c>
      <c r="B5" s="1" t="s">
        <v>13</v>
      </c>
      <c r="C5" s="1" t="s">
        <v>164</v>
      </c>
      <c r="D5" s="15" cm="1">
        <f t="array" ref="D5">(SUMPRODUCT(_xlfn.XLOOKUP(TRIM(G5:N5), $X$2:$X$6, $Y$2:$Y$6, 0), $G$4:$N$4) + SUMPRODUCT(_xlfn.XLOOKUP(TRIM(P5:T5), $X$2:$X$6, $Y$2:$Y$6, 0), $P$4:$T$4)) / SUM($G$4:$N$4, $P$4:$T$4)</f>
        <v>3.5675675675675675</v>
      </c>
      <c r="E5" s="1" t="s">
        <v>301</v>
      </c>
      <c r="G5" s="16" t="s">
        <v>14</v>
      </c>
      <c r="H5" s="16" t="s">
        <v>15</v>
      </c>
      <c r="I5" s="16" t="s">
        <v>14</v>
      </c>
      <c r="J5" s="16" t="s">
        <v>14</v>
      </c>
      <c r="K5" s="16" t="s">
        <v>14</v>
      </c>
      <c r="L5" s="16" t="s">
        <v>14</v>
      </c>
      <c r="M5" s="16" t="s">
        <v>16</v>
      </c>
      <c r="N5" s="16" t="s">
        <v>15</v>
      </c>
      <c r="O5" s="15" cm="1">
        <f t="array" ref="O5">SUMPRODUCT(_xlfn.XLOOKUP(G5:N5, $X$2:$X$6, $Y$2:$Y$6,0), $G$4:$N$4) / SUM($G$4:$N$4)</f>
        <v>3.7727272727272729</v>
      </c>
      <c r="P5" s="16" t="s">
        <v>14</v>
      </c>
      <c r="Q5" s="16" t="s">
        <v>17</v>
      </c>
      <c r="R5" s="16" t="s">
        <v>16</v>
      </c>
      <c r="S5" s="16" t="s">
        <v>15</v>
      </c>
      <c r="T5" s="16" t="s">
        <v>15</v>
      </c>
      <c r="U5" s="15" cm="1">
        <f t="array" ref="U5">SUMPRODUCT(_xlfn.XLOOKUP(P5:T5, $X$2:$X$6, $Y$2:$Y$6, 0), $P$4:$T$4) / SUM($P$4:$T$4)</f>
        <v>3.2666666666666666</v>
      </c>
      <c r="W5" s="11" t="s">
        <v>21</v>
      </c>
      <c r="X5" s="10" t="s">
        <v>17</v>
      </c>
      <c r="Y5" s="11">
        <v>2</v>
      </c>
    </row>
    <row r="6" spans="1:25">
      <c r="A6" s="1">
        <v>1104441023</v>
      </c>
      <c r="B6" s="1" t="s">
        <v>27</v>
      </c>
      <c r="C6" s="1" t="s">
        <v>28</v>
      </c>
      <c r="D6" s="15" cm="1">
        <f t="array" ref="D6">(SUMPRODUCT(_xlfn.XLOOKUP(TRIM(G6:N6), $X$2:$X$6, $Y$2:$Y$6, 0), $G$4:$N$4) + SUMPRODUCT(_xlfn.XLOOKUP(TRIM(P6:T6), $X$2:$X$6, $Y$2:$Y$6, 0), $P$4:$T$4)) / SUM($G$4:$N$4, $P$4:$T$4)</f>
        <v>3.5405405405405403</v>
      </c>
      <c r="E6" s="1" t="s">
        <v>301</v>
      </c>
      <c r="G6" s="16" t="s">
        <v>14</v>
      </c>
      <c r="H6" s="16" t="s">
        <v>15</v>
      </c>
      <c r="I6" s="16" t="s">
        <v>14</v>
      </c>
      <c r="J6" s="16" t="s">
        <v>14</v>
      </c>
      <c r="K6" s="16" t="s">
        <v>14</v>
      </c>
      <c r="L6" s="16" t="s">
        <v>15</v>
      </c>
      <c r="M6" s="16" t="s">
        <v>15</v>
      </c>
      <c r="N6" s="16" t="s">
        <v>15</v>
      </c>
      <c r="O6" s="15" cm="1">
        <f t="array" ref="O6">SUMPRODUCT(_xlfn.XLOOKUP(G6:N6, $X$2:$X$6, $Y$2:$Y$6,0), $G$4:$N$4) / SUM($G$4:$N$4)</f>
        <v>3.7727272727272729</v>
      </c>
      <c r="P6" s="1" t="s">
        <v>14</v>
      </c>
      <c r="Q6" s="1" t="s">
        <v>17</v>
      </c>
      <c r="R6" s="1" t="s">
        <v>15</v>
      </c>
      <c r="S6" s="1" t="s">
        <v>16</v>
      </c>
      <c r="T6" s="1" t="s">
        <v>16</v>
      </c>
      <c r="U6" s="15" cm="1">
        <f t="array" ref="U6">SUMPRODUCT(_xlfn.XLOOKUP(P6:T6, $X$2:$X$6, $Y$2:$Y$6, 0), $P$4:$T$4) / SUM($P$4:$T$4)</f>
        <v>3.2</v>
      </c>
      <c r="W6" s="13" t="s">
        <v>23</v>
      </c>
      <c r="X6" s="12" t="s">
        <v>22</v>
      </c>
      <c r="Y6" s="13">
        <v>0</v>
      </c>
    </row>
    <row r="7" spans="1:25">
      <c r="A7" s="1">
        <v>1105160423</v>
      </c>
      <c r="B7" s="1" t="s">
        <v>29</v>
      </c>
      <c r="C7" s="1" t="s">
        <v>30</v>
      </c>
      <c r="D7" s="15" cm="1">
        <f t="array" ref="D7">(SUMPRODUCT(_xlfn.XLOOKUP(TRIM(G7:N7), $X$2:$X$6, $Y$2:$Y$6, 0), $G$4:$N$4) + SUMPRODUCT(_xlfn.XLOOKUP(TRIM(P7:T7), $X$2:$X$6, $Y$2:$Y$6, 0), $P$4:$T$4)) / SUM($G$4:$N$4, $P$4:$T$4)</f>
        <v>2.5945945945945947</v>
      </c>
      <c r="E7" s="1" t="s">
        <v>301</v>
      </c>
      <c r="G7" s="16" t="s">
        <v>16</v>
      </c>
      <c r="H7" s="16" t="s">
        <v>14</v>
      </c>
      <c r="I7" s="16" t="s">
        <v>15</v>
      </c>
      <c r="J7" s="16" t="s">
        <v>16</v>
      </c>
      <c r="K7" s="16" t="s">
        <v>16</v>
      </c>
      <c r="L7" s="16" t="s">
        <v>17</v>
      </c>
      <c r="M7" s="16" t="s">
        <v>17</v>
      </c>
      <c r="N7" s="16" t="s">
        <v>17</v>
      </c>
      <c r="O7" s="15" cm="1">
        <f t="array" ref="O7">SUMPRODUCT(_xlfn.XLOOKUP(G7:N7, $X$2:$X$6, $Y$2:$Y$6,0), $G$4:$N$4) / SUM($G$4:$N$4)</f>
        <v>3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5" cm="1">
        <f t="array" ref="U7">SUMPRODUCT(_xlfn.XLOOKUP(P7:T7, $X$2:$X$6, $Y$2:$Y$6, 0), $P$4:$T$4) / SUM($P$4:$T$4)</f>
        <v>2</v>
      </c>
    </row>
    <row r="8" spans="1:25">
      <c r="A8" s="1">
        <v>1100362023</v>
      </c>
      <c r="B8" s="1" t="s">
        <v>31</v>
      </c>
      <c r="C8" s="1" t="s">
        <v>32</v>
      </c>
      <c r="D8" s="15" cm="1">
        <f t="array" ref="D8">(SUMPRODUCT(_xlfn.XLOOKUP(TRIM(G8:N8), $X$2:$X$6, $Y$2:$Y$6, 0), $G$4:$N$4) + SUMPRODUCT(_xlfn.XLOOKUP(TRIM(P8:T8), $X$2:$X$6, $Y$2:$Y$6, 0), $P$4:$T$4)) / SUM($G$4:$N$4, $P$4:$T$4)</f>
        <v>3.4864864864864864</v>
      </c>
      <c r="E8" s="1" t="s">
        <v>301</v>
      </c>
      <c r="G8" s="16" t="s">
        <v>14</v>
      </c>
      <c r="H8" s="16" t="s">
        <v>14</v>
      </c>
      <c r="I8" s="16" t="s">
        <v>16</v>
      </c>
      <c r="J8" s="16" t="s">
        <v>14</v>
      </c>
      <c r="K8" s="16" t="s">
        <v>17</v>
      </c>
      <c r="L8" s="16" t="s">
        <v>17</v>
      </c>
      <c r="M8" s="16" t="s">
        <v>15</v>
      </c>
      <c r="N8" s="16" t="s">
        <v>14</v>
      </c>
      <c r="O8" s="15" cm="1">
        <f t="array" ref="O8">SUMPRODUCT(_xlfn.XLOOKUP(G8:N8, $X$2:$X$6, $Y$2:$Y$6,0), $G$4:$N$4) / SUM($G$4:$N$4)</f>
        <v>3.4090909090909092</v>
      </c>
      <c r="P8" s="1" t="s">
        <v>14</v>
      </c>
      <c r="Q8" s="1" t="s">
        <v>16</v>
      </c>
      <c r="R8" s="1" t="s">
        <v>14</v>
      </c>
      <c r="S8" s="1" t="s">
        <v>15</v>
      </c>
      <c r="T8" s="1" t="s">
        <v>16</v>
      </c>
      <c r="U8" s="15" cm="1">
        <f t="array" ref="U8">SUMPRODUCT(_xlfn.XLOOKUP(P8:T8, $X$2:$X$6, $Y$2:$Y$6, 0), $P$4:$T$4) / SUM($P$4:$T$4)</f>
        <v>3.6</v>
      </c>
    </row>
    <row r="9" spans="1:25">
      <c r="A9" s="1">
        <v>2100608423</v>
      </c>
      <c r="B9" s="1" t="s">
        <v>33</v>
      </c>
      <c r="C9" s="1" t="s">
        <v>34</v>
      </c>
      <c r="D9" s="15" cm="1">
        <f t="array" ref="D9">(SUMPRODUCT(_xlfn.XLOOKUP(TRIM(G9:N9), $X$2:$X$6, $Y$2:$Y$6, 0), $G$4:$N$4) + SUMPRODUCT(_xlfn.XLOOKUP(TRIM(P9:T9), $X$2:$X$6, $Y$2:$Y$6, 0), $P$4:$T$4)) / SUM($G$4:$N$4, $P$4:$T$4)</f>
        <v>3.5270270270270272</v>
      </c>
      <c r="E9" s="1" t="s">
        <v>301</v>
      </c>
      <c r="G9" s="16" t="s">
        <v>15</v>
      </c>
      <c r="H9" s="16" t="s">
        <v>14</v>
      </c>
      <c r="I9" s="16" t="s">
        <v>14</v>
      </c>
      <c r="J9" s="16" t="s">
        <v>16</v>
      </c>
      <c r="K9" s="16" t="s">
        <v>14</v>
      </c>
      <c r="L9" s="16" t="s">
        <v>15</v>
      </c>
      <c r="M9" s="16" t="s">
        <v>14</v>
      </c>
      <c r="N9" s="16" t="s">
        <v>17</v>
      </c>
      <c r="O9" s="15" cm="1">
        <f t="array" ref="O9">SUMPRODUCT(_xlfn.XLOOKUP(G9:N9, $X$2:$X$6, $Y$2:$Y$6,0), $G$4:$N$4) / SUM($G$4:$N$4)</f>
        <v>3.5454545454545454</v>
      </c>
      <c r="P9" s="1" t="s">
        <v>15</v>
      </c>
      <c r="Q9" s="1" t="s">
        <v>14</v>
      </c>
      <c r="R9" s="1" t="s">
        <v>14</v>
      </c>
      <c r="S9" s="1" t="s">
        <v>15</v>
      </c>
      <c r="T9" s="1" t="s">
        <v>17</v>
      </c>
      <c r="U9" s="15" cm="1">
        <f t="array" ref="U9">SUMPRODUCT(_xlfn.XLOOKUP(P9:T9, $X$2:$X$6, $Y$2:$Y$6, 0), $P$4:$T$4) / SUM($P$4:$T$4)</f>
        <v>3.5</v>
      </c>
    </row>
    <row r="10" spans="1:25">
      <c r="A10" s="1">
        <v>2100150423</v>
      </c>
      <c r="B10" s="1" t="s">
        <v>35</v>
      </c>
      <c r="C10" s="1" t="s">
        <v>36</v>
      </c>
      <c r="D10" s="15" cm="1">
        <f t="array" ref="D10">(SUMPRODUCT(_xlfn.XLOOKUP(TRIM(G10:N10), $X$2:$X$6, $Y$2:$Y$6, 0), $G$4:$N$4) + SUMPRODUCT(_xlfn.XLOOKUP(TRIM(P10:T10), $X$2:$X$6, $Y$2:$Y$6, 0), $P$4:$T$4)) / SUM($G$4:$N$4, $P$4:$T$4)</f>
        <v>3.1621621621621623</v>
      </c>
      <c r="E10" s="1" t="s">
        <v>301</v>
      </c>
      <c r="G10" s="16" t="s">
        <v>16</v>
      </c>
      <c r="H10" s="16" t="s">
        <v>15</v>
      </c>
      <c r="I10" s="16" t="s">
        <v>16</v>
      </c>
      <c r="J10" s="16" t="s">
        <v>14</v>
      </c>
      <c r="K10" s="16" t="s">
        <v>16</v>
      </c>
      <c r="L10" s="16" t="s">
        <v>17</v>
      </c>
      <c r="M10" s="16" t="s">
        <v>16</v>
      </c>
      <c r="N10" s="16" t="s">
        <v>17</v>
      </c>
      <c r="O10" s="15" cm="1">
        <f t="array" ref="O10">SUMPRODUCT(_xlfn.XLOOKUP(G10:N10, $X$2:$X$6, $Y$2:$Y$6,0), $G$4:$N$4) / SUM($G$4:$N$4)</f>
        <v>3.0909090909090908</v>
      </c>
      <c r="P10" s="1" t="s">
        <v>17</v>
      </c>
      <c r="Q10" s="1" t="s">
        <v>15</v>
      </c>
      <c r="R10" s="1" t="s">
        <v>14</v>
      </c>
      <c r="S10" s="1" t="s">
        <v>15</v>
      </c>
      <c r="T10" s="1" t="s">
        <v>16</v>
      </c>
      <c r="U10" s="15" cm="1">
        <f t="array" ref="U10">SUMPRODUCT(_xlfn.XLOOKUP(P10:T10, $X$2:$X$6, $Y$2:$Y$6, 0), $P$4:$T$4) / SUM($P$4:$T$4)</f>
        <v>3.2666666666666666</v>
      </c>
    </row>
    <row r="11" spans="1:25">
      <c r="A11" s="1">
        <v>2200022923</v>
      </c>
      <c r="B11" s="1" t="s">
        <v>37</v>
      </c>
      <c r="C11" s="1" t="s">
        <v>38</v>
      </c>
      <c r="D11" s="15" cm="1">
        <f t="array" ref="D11">(SUMPRODUCT(_xlfn.XLOOKUP(TRIM(G11:N11), $X$2:$X$6, $Y$2:$Y$6, 0), $G$4:$N$4) + SUMPRODUCT(_xlfn.XLOOKUP(TRIM(P11:T11), $X$2:$X$6, $Y$2:$Y$6, 0), $P$4:$T$4)) / SUM($G$4:$N$4, $P$4:$T$4)</f>
        <v>3.1081081081081079</v>
      </c>
      <c r="E11" s="1" t="s">
        <v>301</v>
      </c>
      <c r="G11" s="16" t="s">
        <v>15</v>
      </c>
      <c r="H11" s="16" t="s">
        <v>16</v>
      </c>
      <c r="I11" s="16" t="s">
        <v>15</v>
      </c>
      <c r="J11" s="16" t="s">
        <v>14</v>
      </c>
      <c r="K11" s="16" t="s">
        <v>14</v>
      </c>
      <c r="L11" s="16" t="s">
        <v>14</v>
      </c>
      <c r="M11" s="16" t="s">
        <v>16</v>
      </c>
      <c r="N11" s="16" t="s">
        <v>17</v>
      </c>
      <c r="O11" s="15" cm="1">
        <f t="array" ref="O11">SUMPRODUCT(_xlfn.XLOOKUP(G11:N11, $X$2:$X$6, $Y$2:$Y$6,0), $G$4:$N$4) / SUM($G$4:$N$4)</f>
        <v>3.4090909090909092</v>
      </c>
      <c r="P11" s="1" t="s">
        <v>14</v>
      </c>
      <c r="Q11" s="1" t="s">
        <v>17</v>
      </c>
      <c r="R11" s="1" t="s">
        <v>17</v>
      </c>
      <c r="S11" s="1" t="s">
        <v>17</v>
      </c>
      <c r="T11" s="1" t="s">
        <v>14</v>
      </c>
      <c r="U11" s="15" cm="1">
        <f t="array" ref="U11">SUMPRODUCT(_xlfn.XLOOKUP(P11:T11, $X$2:$X$6, $Y$2:$Y$6, 0), $P$4:$T$4) / SUM($P$4:$T$4)</f>
        <v>2.6666666666666665</v>
      </c>
    </row>
    <row r="12" spans="1:25">
      <c r="A12" s="1">
        <v>2190021923</v>
      </c>
      <c r="B12" s="1" t="s">
        <v>39</v>
      </c>
      <c r="C12" s="1" t="s">
        <v>40</v>
      </c>
      <c r="D12" s="15" cm="1">
        <f t="array" ref="D12">(SUMPRODUCT(_xlfn.XLOOKUP(TRIM(G12:N12), $X$2:$X$6, $Y$2:$Y$6, 0), $G$4:$N$4) + SUMPRODUCT(_xlfn.XLOOKUP(TRIM(P12:T12), $X$2:$X$6, $Y$2:$Y$6, 0), $P$4:$T$4)) / SUM($G$4:$N$4, $P$4:$T$4)</f>
        <v>3.1621621621621623</v>
      </c>
      <c r="E12" s="1" t="s">
        <v>301</v>
      </c>
      <c r="G12" s="16" t="s">
        <v>17</v>
      </c>
      <c r="H12" s="16" t="s">
        <v>15</v>
      </c>
      <c r="I12" s="16" t="s">
        <v>17</v>
      </c>
      <c r="J12" s="16" t="s">
        <v>15</v>
      </c>
      <c r="K12" s="16" t="s">
        <v>16</v>
      </c>
      <c r="L12" s="16" t="s">
        <v>17</v>
      </c>
      <c r="M12" s="16" t="s">
        <v>15</v>
      </c>
      <c r="N12" s="16" t="s">
        <v>14</v>
      </c>
      <c r="O12" s="15" cm="1">
        <f t="array" ref="O12">SUMPRODUCT(_xlfn.XLOOKUP(G12:N12, $X$2:$X$6, $Y$2:$Y$6,0), $G$4:$N$4) / SUM($G$4:$N$4)</f>
        <v>2.9545454545454546</v>
      </c>
      <c r="P12" s="1" t="s">
        <v>16</v>
      </c>
      <c r="Q12" s="1" t="s">
        <v>15</v>
      </c>
      <c r="R12" s="1" t="s">
        <v>14</v>
      </c>
      <c r="S12" s="1" t="s">
        <v>15</v>
      </c>
      <c r="T12" s="1" t="s">
        <v>16</v>
      </c>
      <c r="U12" s="15" cm="1">
        <f t="array" ref="U12">SUMPRODUCT(_xlfn.XLOOKUP(P12:T12, $X$2:$X$6, $Y$2:$Y$6, 0), $P$4:$T$4) / SUM($P$4:$T$4)</f>
        <v>3.4666666666666668</v>
      </c>
    </row>
    <row r="13" spans="1:25">
      <c r="A13" s="1">
        <v>1100937523</v>
      </c>
      <c r="B13" s="1" t="s">
        <v>41</v>
      </c>
      <c r="C13" s="1" t="s">
        <v>42</v>
      </c>
      <c r="D13" s="15" cm="1">
        <f t="array" ref="D13">(SUMPRODUCT(_xlfn.XLOOKUP(TRIM(G13:N13), $X$2:$X$6, $Y$2:$Y$6, 0), $G$4:$N$4) + SUMPRODUCT(_xlfn.XLOOKUP(TRIM(P13:T13), $X$2:$X$6, $Y$2:$Y$6, 0), $P$4:$T$4)) / SUM($G$4:$N$4, $P$4:$T$4)</f>
        <v>3.0270270270270272</v>
      </c>
      <c r="E13" s="1" t="s">
        <v>301</v>
      </c>
      <c r="G13" s="16" t="s">
        <v>14</v>
      </c>
      <c r="H13" s="16" t="s">
        <v>16</v>
      </c>
      <c r="I13" s="16" t="s">
        <v>16</v>
      </c>
      <c r="J13" s="16" t="s">
        <v>17</v>
      </c>
      <c r="K13" s="16" t="s">
        <v>16</v>
      </c>
      <c r="L13" s="16" t="s">
        <v>17</v>
      </c>
      <c r="M13" s="16" t="s">
        <v>15</v>
      </c>
      <c r="N13" s="16" t="s">
        <v>15</v>
      </c>
      <c r="O13" s="15" cm="1">
        <f t="array" ref="O13">SUMPRODUCT(_xlfn.XLOOKUP(G13:N13, $X$2:$X$6, $Y$2:$Y$6,0), $G$4:$N$4) / SUM($G$4:$N$4)</f>
        <v>2.9090909090909092</v>
      </c>
      <c r="P13" s="1" t="s">
        <v>14</v>
      </c>
      <c r="Q13" s="1" t="s">
        <v>14</v>
      </c>
      <c r="R13" s="1" t="s">
        <v>14</v>
      </c>
      <c r="S13" s="1" t="s">
        <v>17</v>
      </c>
      <c r="T13" s="1" t="s">
        <v>17</v>
      </c>
      <c r="U13" s="15" cm="1">
        <f t="array" ref="U13">SUMPRODUCT(_xlfn.XLOOKUP(P13:T13, $X$2:$X$6, $Y$2:$Y$6, 0), $P$4:$T$4) / SUM($P$4:$T$4)</f>
        <v>3.2</v>
      </c>
    </row>
    <row r="14" spans="1:25">
      <c r="A14" s="1">
        <v>1101387323</v>
      </c>
      <c r="B14" s="1" t="s">
        <v>43</v>
      </c>
      <c r="C14" s="1" t="s">
        <v>44</v>
      </c>
      <c r="D14" s="15" cm="1">
        <f t="array" ref="D14">(SUMPRODUCT(_xlfn.XLOOKUP(TRIM(G14:N14), $X$2:$X$6, $Y$2:$Y$6, 0), $G$4:$N$4) + SUMPRODUCT(_xlfn.XLOOKUP(TRIM(P14:T14), $X$2:$X$6, $Y$2:$Y$6, 0), $P$4:$T$4)) / SUM($G$4:$N$4, $P$4:$T$4)</f>
        <v>2.7297297297297298</v>
      </c>
      <c r="E14" s="1" t="s">
        <v>301</v>
      </c>
      <c r="G14" s="16" t="s">
        <v>17</v>
      </c>
      <c r="H14" s="16" t="s">
        <v>14</v>
      </c>
      <c r="I14" s="16" t="s">
        <v>14</v>
      </c>
      <c r="J14" s="16" t="s">
        <v>15</v>
      </c>
      <c r="K14" s="16" t="s">
        <v>17</v>
      </c>
      <c r="L14" s="16" t="s">
        <v>16</v>
      </c>
      <c r="M14" s="16" t="s">
        <v>17</v>
      </c>
      <c r="N14" s="16" t="s">
        <v>15</v>
      </c>
      <c r="O14" s="15" cm="1">
        <f t="array" ref="O14">SUMPRODUCT(_xlfn.XLOOKUP(G14:N14, $X$2:$X$6, $Y$2:$Y$6,0), $G$4:$N$4) / SUM($G$4:$N$4)</f>
        <v>3.2272727272727271</v>
      </c>
      <c r="P14" s="1" t="s">
        <v>17</v>
      </c>
      <c r="Q14" s="1" t="s">
        <v>17</v>
      </c>
      <c r="R14" s="1" t="s">
        <v>17</v>
      </c>
      <c r="S14" s="1" t="s">
        <v>17</v>
      </c>
      <c r="T14" s="1" t="s">
        <v>17</v>
      </c>
      <c r="U14" s="15" cm="1">
        <f t="array" ref="U14">SUMPRODUCT(_xlfn.XLOOKUP(P14:T14, $X$2:$X$6, $Y$2:$Y$6, 0), $P$4:$T$4) / SUM($P$4:$T$4)</f>
        <v>2</v>
      </c>
    </row>
    <row r="15" spans="1:25">
      <c r="A15" s="1">
        <v>2200078223</v>
      </c>
      <c r="B15" s="1" t="s">
        <v>45</v>
      </c>
      <c r="C15" s="1" t="s">
        <v>46</v>
      </c>
      <c r="D15" s="15" cm="1">
        <f t="array" ref="D15">(SUMPRODUCT(_xlfn.XLOOKUP(TRIM(G15:N15), $X$2:$X$6, $Y$2:$Y$6, 0), $G$4:$N$4) + SUMPRODUCT(_xlfn.XLOOKUP(TRIM(P15:T15), $X$2:$X$6, $Y$2:$Y$6, 0), $P$4:$T$4)) / SUM($G$4:$N$4, $P$4:$T$4)</f>
        <v>3.3648648648648649</v>
      </c>
      <c r="E15" s="1" t="s">
        <v>301</v>
      </c>
      <c r="G15" s="16" t="s">
        <v>14</v>
      </c>
      <c r="H15" s="16" t="s">
        <v>14</v>
      </c>
      <c r="I15" s="16" t="s">
        <v>15</v>
      </c>
      <c r="J15" s="16" t="s">
        <v>16</v>
      </c>
      <c r="K15" s="16" t="s">
        <v>15</v>
      </c>
      <c r="L15" s="16" t="s">
        <v>14</v>
      </c>
      <c r="M15" s="16" t="s">
        <v>17</v>
      </c>
      <c r="N15" s="16" t="s">
        <v>14</v>
      </c>
      <c r="O15" s="15" cm="1">
        <f t="array" ref="O15">SUMPRODUCT(_xlfn.XLOOKUP(G15:N15, $X$2:$X$6, $Y$2:$Y$6,0), $G$4:$N$4) / SUM($G$4:$N$4)</f>
        <v>3.5</v>
      </c>
      <c r="P15" s="1" t="s">
        <v>15</v>
      </c>
      <c r="Q15" s="1" t="s">
        <v>15</v>
      </c>
      <c r="R15" s="1" t="s">
        <v>15</v>
      </c>
      <c r="S15" s="1" t="s">
        <v>17</v>
      </c>
      <c r="T15" s="1" t="s">
        <v>14</v>
      </c>
      <c r="U15" s="15" cm="1">
        <f t="array" ref="U15">SUMPRODUCT(_xlfn.XLOOKUP(P15:T15, $X$2:$X$6, $Y$2:$Y$6, 0), $P$4:$T$4) / SUM($P$4:$T$4)</f>
        <v>3.1666666666666665</v>
      </c>
    </row>
    <row r="16" spans="1:25">
      <c r="A16" s="1">
        <v>2190022623</v>
      </c>
      <c r="B16" s="1" t="s">
        <v>47</v>
      </c>
      <c r="C16" s="1" t="s">
        <v>300</v>
      </c>
      <c r="D16" s="15" cm="1">
        <f t="array" ref="D16">(SUMPRODUCT(_xlfn.XLOOKUP(TRIM(G16:N16), $X$2:$X$6, $Y$2:$Y$6, 0), $G$4:$N$4) + SUMPRODUCT(_xlfn.XLOOKUP(TRIM(P16:T16), $X$2:$X$6, $Y$2:$Y$6, 0), $P$4:$T$4)) / SUM($G$4:$N$4, $P$4:$T$4)</f>
        <v>3.7567567567567566</v>
      </c>
      <c r="E16" s="1" t="s">
        <v>301</v>
      </c>
      <c r="G16" s="16" t="s">
        <v>14</v>
      </c>
      <c r="H16" s="16" t="s">
        <v>15</v>
      </c>
      <c r="I16" s="16" t="s">
        <v>14</v>
      </c>
      <c r="J16" s="16" t="s">
        <v>14</v>
      </c>
      <c r="K16" s="16" t="s">
        <v>14</v>
      </c>
      <c r="L16" s="16" t="s">
        <v>14</v>
      </c>
      <c r="M16" s="16" t="s">
        <v>15</v>
      </c>
      <c r="N16" s="16" t="s">
        <v>15</v>
      </c>
      <c r="O16" s="15" cm="1">
        <f t="array" ref="O16">SUMPRODUCT(_xlfn.XLOOKUP(G16:N16, $X$2:$X$6, $Y$2:$Y$6,0), $G$4:$N$4) / SUM($G$4:$N$4)</f>
        <v>3.8181818181818183</v>
      </c>
      <c r="P16" s="1" t="s">
        <v>14</v>
      </c>
      <c r="Q16" s="1" t="s">
        <v>17</v>
      </c>
      <c r="R16" s="1" t="s">
        <v>14</v>
      </c>
      <c r="S16" s="1" t="s">
        <v>14</v>
      </c>
      <c r="T16" s="1" t="s">
        <v>15</v>
      </c>
      <c r="U16" s="15" cm="1">
        <f t="array" ref="U16">SUMPRODUCT(_xlfn.XLOOKUP(P16:T16, $X$2:$X$6, $Y$2:$Y$6, 0), $P$4:$T$4) / SUM($P$4:$T$4)</f>
        <v>3.6666666666666665</v>
      </c>
    </row>
    <row r="17" spans="1:21">
      <c r="A17" s="1">
        <v>1190087823</v>
      </c>
      <c r="B17" s="1" t="s">
        <v>48</v>
      </c>
      <c r="C17" s="1" t="s">
        <v>49</v>
      </c>
      <c r="D17" s="15" cm="1">
        <f t="array" ref="D17">(SUMPRODUCT(_xlfn.XLOOKUP(TRIM(G17:N17), $X$2:$X$6, $Y$2:$Y$6, 0), $G$4:$N$4) + SUMPRODUCT(_xlfn.XLOOKUP(TRIM(P17:T17), $X$2:$X$6, $Y$2:$Y$6, 0), $P$4:$T$4)) / SUM($G$4:$N$4, $P$4:$T$4)</f>
        <v>3.5405405405405403</v>
      </c>
      <c r="E17" s="1" t="s">
        <v>301</v>
      </c>
      <c r="G17" s="16" t="s">
        <v>16</v>
      </c>
      <c r="H17" s="16" t="s">
        <v>15</v>
      </c>
      <c r="I17" s="16" t="s">
        <v>15</v>
      </c>
      <c r="J17" s="16" t="s">
        <v>14</v>
      </c>
      <c r="K17" s="16" t="s">
        <v>15</v>
      </c>
      <c r="L17" s="16" t="s">
        <v>16</v>
      </c>
      <c r="M17" s="16" t="s">
        <v>16</v>
      </c>
      <c r="N17" s="16" t="s">
        <v>14</v>
      </c>
      <c r="O17" s="15" cm="1">
        <f t="array" ref="O17">SUMPRODUCT(_xlfn.XLOOKUP(G17:N17, $X$2:$X$6, $Y$2:$Y$6,0), $G$4:$N$4) / SUM($G$4:$N$4)</f>
        <v>3.5</v>
      </c>
      <c r="P17" s="1" t="s">
        <v>14</v>
      </c>
      <c r="Q17" s="1" t="s">
        <v>16</v>
      </c>
      <c r="R17" s="1" t="s">
        <v>15</v>
      </c>
      <c r="S17" s="1" t="s">
        <v>14</v>
      </c>
      <c r="T17" s="1" t="s">
        <v>16</v>
      </c>
      <c r="U17" s="15" cm="1">
        <f t="array" ref="U17">SUMPRODUCT(_xlfn.XLOOKUP(P17:T17, $X$2:$X$6, $Y$2:$Y$6, 0), $P$4:$T$4) / SUM($P$4:$T$4)</f>
        <v>3.6</v>
      </c>
    </row>
    <row r="18" spans="1:21">
      <c r="A18" s="1">
        <v>2101420523</v>
      </c>
      <c r="B18" s="1" t="s">
        <v>50</v>
      </c>
      <c r="C18" s="1" t="s">
        <v>51</v>
      </c>
      <c r="D18" s="15" cm="1">
        <f t="array" ref="D18">(SUMPRODUCT(_xlfn.XLOOKUP(TRIM(G18:N18), $X$2:$X$6, $Y$2:$Y$6, 0), $G$4:$N$4) + SUMPRODUCT(_xlfn.XLOOKUP(TRIM(P18:T18), $X$2:$X$6, $Y$2:$Y$6, 0), $P$4:$T$4)) / SUM($G$4:$N$4, $P$4:$T$4)</f>
        <v>2.9189189189189189</v>
      </c>
      <c r="E18" s="1" t="s">
        <v>301</v>
      </c>
      <c r="G18" s="16" t="s">
        <v>17</v>
      </c>
      <c r="H18" s="16" t="s">
        <v>14</v>
      </c>
      <c r="I18" s="16" t="s">
        <v>16</v>
      </c>
      <c r="J18" s="16" t="s">
        <v>17</v>
      </c>
      <c r="K18" s="16" t="s">
        <v>16</v>
      </c>
      <c r="L18" s="16" t="s">
        <v>15</v>
      </c>
      <c r="M18" s="16" t="s">
        <v>16</v>
      </c>
      <c r="N18" s="16" t="s">
        <v>14</v>
      </c>
      <c r="O18" s="15" cm="1">
        <f t="array" ref="O18">SUMPRODUCT(_xlfn.XLOOKUP(G18:N18, $X$2:$X$6, $Y$2:$Y$6,0), $G$4:$N$4) / SUM($G$4:$N$4)</f>
        <v>3.0454545454545454</v>
      </c>
      <c r="P18" s="1" t="s">
        <v>17</v>
      </c>
      <c r="Q18" s="1" t="s">
        <v>16</v>
      </c>
      <c r="R18" s="1" t="s">
        <v>17</v>
      </c>
      <c r="S18" s="1" t="s">
        <v>15</v>
      </c>
      <c r="T18" s="1" t="s">
        <v>15</v>
      </c>
      <c r="U18" s="15" cm="1">
        <f t="array" ref="U18">SUMPRODUCT(_xlfn.XLOOKUP(P18:T18, $X$2:$X$6, $Y$2:$Y$6, 0), $P$4:$T$4) / SUM($P$4:$T$4)</f>
        <v>2.7333333333333334</v>
      </c>
    </row>
    <row r="19" spans="1:21">
      <c r="A19" s="1">
        <v>1100797723</v>
      </c>
      <c r="B19" s="1" t="s">
        <v>52</v>
      </c>
      <c r="C19" s="1" t="s">
        <v>53</v>
      </c>
      <c r="D19" s="15" cm="1">
        <f t="array" ref="D19">(SUMPRODUCT(_xlfn.XLOOKUP(TRIM(G19:N19), $X$2:$X$6, $Y$2:$Y$6, 0), $G$4:$N$4) + SUMPRODUCT(_xlfn.XLOOKUP(TRIM(P19:T19), $X$2:$X$6, $Y$2:$Y$6, 0), $P$4:$T$4)) / SUM($G$4:$N$4, $P$4:$T$4)</f>
        <v>3.3783783783783785</v>
      </c>
      <c r="E19" s="1" t="s">
        <v>301</v>
      </c>
      <c r="G19" s="16" t="s">
        <v>17</v>
      </c>
      <c r="H19" s="16" t="s">
        <v>16</v>
      </c>
      <c r="I19" s="16" t="s">
        <v>14</v>
      </c>
      <c r="J19" s="16" t="s">
        <v>16</v>
      </c>
      <c r="K19" s="16" t="s">
        <v>14</v>
      </c>
      <c r="L19" s="16" t="s">
        <v>16</v>
      </c>
      <c r="M19" s="16" t="s">
        <v>16</v>
      </c>
      <c r="N19" s="16" t="s">
        <v>14</v>
      </c>
      <c r="O19" s="15" cm="1">
        <f t="array" ref="O19">SUMPRODUCT(_xlfn.XLOOKUP(G19:N19, $X$2:$X$6, $Y$2:$Y$6,0), $G$4:$N$4) / SUM($G$4:$N$4)</f>
        <v>3.2727272727272729</v>
      </c>
      <c r="P19" s="1" t="s">
        <v>14</v>
      </c>
      <c r="Q19" s="1" t="s">
        <v>16</v>
      </c>
      <c r="R19" s="1" t="s">
        <v>14</v>
      </c>
      <c r="S19" s="1" t="s">
        <v>16</v>
      </c>
      <c r="T19" s="1" t="s">
        <v>15</v>
      </c>
      <c r="U19" s="15" cm="1">
        <f t="array" ref="U19">SUMPRODUCT(_xlfn.XLOOKUP(P19:T19, $X$2:$X$6, $Y$2:$Y$6, 0), $P$4:$T$4) / SUM($P$4:$T$4)</f>
        <v>3.5333333333333332</v>
      </c>
    </row>
    <row r="20" spans="1:21">
      <c r="A20" s="1">
        <v>1100220523</v>
      </c>
      <c r="B20" s="1" t="s">
        <v>54</v>
      </c>
      <c r="C20" s="1" t="s">
        <v>55</v>
      </c>
      <c r="D20" s="15" cm="1">
        <f t="array" ref="D20">(SUMPRODUCT(_xlfn.XLOOKUP(TRIM(G20:N20), $X$2:$X$6, $Y$2:$Y$6, 0), $G$4:$N$4) + SUMPRODUCT(_xlfn.XLOOKUP(TRIM(P20:T20), $X$2:$X$6, $Y$2:$Y$6, 0), $P$4:$T$4)) / SUM($G$4:$N$4, $P$4:$T$4)</f>
        <v>3.2567567567567566</v>
      </c>
      <c r="E20" s="1" t="s">
        <v>301</v>
      </c>
      <c r="G20" s="16" t="s">
        <v>14</v>
      </c>
      <c r="H20" s="16" t="s">
        <v>15</v>
      </c>
      <c r="I20" s="16" t="s">
        <v>15</v>
      </c>
      <c r="J20" s="16" t="s">
        <v>16</v>
      </c>
      <c r="K20" s="16" t="s">
        <v>17</v>
      </c>
      <c r="L20" s="16" t="s">
        <v>14</v>
      </c>
      <c r="M20" s="16" t="s">
        <v>17</v>
      </c>
      <c r="N20" s="16" t="s">
        <v>14</v>
      </c>
      <c r="O20" s="15" cm="1">
        <f t="array" ref="O20">SUMPRODUCT(_xlfn.XLOOKUP(G20:N20, $X$2:$X$6, $Y$2:$Y$6,0), $G$4:$N$4) / SUM($G$4:$N$4)</f>
        <v>3.2727272727272729</v>
      </c>
      <c r="P20" s="1" t="s">
        <v>15</v>
      </c>
      <c r="Q20" s="1" t="s">
        <v>14</v>
      </c>
      <c r="R20" s="1" t="s">
        <v>17</v>
      </c>
      <c r="S20" s="1" t="s">
        <v>15</v>
      </c>
      <c r="T20" s="1" t="s">
        <v>14</v>
      </c>
      <c r="U20" s="15" cm="1">
        <f t="array" ref="U20">SUMPRODUCT(_xlfn.XLOOKUP(P20:T20, $X$2:$X$6, $Y$2:$Y$6, 0), $P$4:$T$4) / SUM($P$4:$T$4)</f>
        <v>3.2333333333333334</v>
      </c>
    </row>
    <row r="21" spans="1:21">
      <c r="A21" s="1">
        <v>1100457023</v>
      </c>
      <c r="B21" s="1" t="s">
        <v>56</v>
      </c>
      <c r="C21" s="1" t="s">
        <v>57</v>
      </c>
      <c r="D21" s="15" cm="1">
        <f t="array" ref="D21">(SUMPRODUCT(_xlfn.XLOOKUP(TRIM(G21:N21), $X$2:$X$6, $Y$2:$Y$6, 0), $G$4:$N$4) + SUMPRODUCT(_xlfn.XLOOKUP(TRIM(P21:T21), $X$2:$X$6, $Y$2:$Y$6, 0), $P$4:$T$4)) / SUM($G$4:$N$4, $P$4:$T$4)</f>
        <v>3.1216216216216215</v>
      </c>
      <c r="E21" s="1" t="s">
        <v>301</v>
      </c>
      <c r="G21" s="16" t="s">
        <v>15</v>
      </c>
      <c r="H21" s="16" t="s">
        <v>17</v>
      </c>
      <c r="I21" s="16" t="s">
        <v>15</v>
      </c>
      <c r="J21" s="16" t="s">
        <v>14</v>
      </c>
      <c r="K21" s="16" t="s">
        <v>17</v>
      </c>
      <c r="L21" s="16" t="s">
        <v>17</v>
      </c>
      <c r="M21" s="16" t="s">
        <v>15</v>
      </c>
      <c r="N21" s="16" t="s">
        <v>16</v>
      </c>
      <c r="O21" s="15" cm="1">
        <f t="array" ref="O21">SUMPRODUCT(_xlfn.XLOOKUP(G21:N21, $X$2:$X$6, $Y$2:$Y$6,0), $G$4:$N$4) / SUM($G$4:$N$4)</f>
        <v>3</v>
      </c>
      <c r="P21" s="1" t="s">
        <v>15</v>
      </c>
      <c r="Q21" s="1" t="s">
        <v>17</v>
      </c>
      <c r="R21" s="1" t="s">
        <v>14</v>
      </c>
      <c r="S21" s="1" t="s">
        <v>16</v>
      </c>
      <c r="T21" s="1" t="s">
        <v>15</v>
      </c>
      <c r="U21" s="15" cm="1">
        <f t="array" ref="U21">SUMPRODUCT(_xlfn.XLOOKUP(P21:T21, $X$2:$X$6, $Y$2:$Y$6, 0), $P$4:$T$4) / SUM($P$4:$T$4)</f>
        <v>3.3</v>
      </c>
    </row>
    <row r="22" spans="1:21">
      <c r="A22" s="1">
        <v>2190060823</v>
      </c>
      <c r="B22" s="1" t="s">
        <v>58</v>
      </c>
      <c r="C22" s="1" t="s">
        <v>59</v>
      </c>
      <c r="D22" s="15" cm="1">
        <f t="array" ref="D22">(SUMPRODUCT(_xlfn.XLOOKUP(TRIM(G22:N22), $X$2:$X$6, $Y$2:$Y$6, 0), $G$4:$N$4) + SUMPRODUCT(_xlfn.XLOOKUP(TRIM(P22:T22), $X$2:$X$6, $Y$2:$Y$6, 0), $P$4:$T$4)) / SUM($G$4:$N$4, $P$4:$T$4)</f>
        <v>2.6081081081081079</v>
      </c>
      <c r="E22" s="1" t="s">
        <v>301</v>
      </c>
      <c r="G22" s="16" t="s">
        <v>14</v>
      </c>
      <c r="H22" s="16" t="s">
        <v>17</v>
      </c>
      <c r="I22" s="16" t="s">
        <v>17</v>
      </c>
      <c r="J22" s="16" t="s">
        <v>16</v>
      </c>
      <c r="K22" s="16" t="s">
        <v>17</v>
      </c>
      <c r="L22" s="16" t="s">
        <v>16</v>
      </c>
      <c r="M22" s="16" t="s">
        <v>15</v>
      </c>
      <c r="N22" s="16" t="s">
        <v>17</v>
      </c>
      <c r="O22" s="15" cm="1">
        <f t="array" ref="O22">SUMPRODUCT(_xlfn.XLOOKUP(G22:N22, $X$2:$X$6, $Y$2:$Y$6,0), $G$4:$N$4) / SUM($G$4:$N$4)</f>
        <v>2.5909090909090908</v>
      </c>
      <c r="P22" s="1" t="s">
        <v>15</v>
      </c>
      <c r="Q22" s="1" t="s">
        <v>15</v>
      </c>
      <c r="R22" s="1" t="s">
        <v>17</v>
      </c>
      <c r="S22" s="1" t="s">
        <v>17</v>
      </c>
      <c r="T22" s="1" t="s">
        <v>16</v>
      </c>
      <c r="U22" s="15" cm="1">
        <f t="array" ref="U22">SUMPRODUCT(_xlfn.XLOOKUP(P22:T22, $X$2:$X$6, $Y$2:$Y$6, 0), $P$4:$T$4) / SUM($P$4:$T$4)</f>
        <v>2.6333333333333333</v>
      </c>
    </row>
    <row r="23" spans="1:21">
      <c r="A23" s="1">
        <v>1101762723</v>
      </c>
      <c r="B23" s="1" t="s">
        <v>60</v>
      </c>
      <c r="C23" s="1" t="s">
        <v>61</v>
      </c>
      <c r="D23" s="15" cm="1">
        <f t="array" ref="D23">(SUMPRODUCT(_xlfn.XLOOKUP(TRIM(G23:N23), $X$2:$X$6, $Y$2:$Y$6, 0), $G$4:$N$4) + SUMPRODUCT(_xlfn.XLOOKUP(TRIM(P23:T23), $X$2:$X$6, $Y$2:$Y$6, 0), $P$4:$T$4)) / SUM($G$4:$N$4, $P$4:$T$4)</f>
        <v>3.3243243243243241</v>
      </c>
      <c r="E23" s="1" t="s">
        <v>301</v>
      </c>
      <c r="G23" s="16" t="s">
        <v>17</v>
      </c>
      <c r="H23" s="16" t="s">
        <v>17</v>
      </c>
      <c r="I23" s="16" t="s">
        <v>15</v>
      </c>
      <c r="J23" s="16" t="s">
        <v>14</v>
      </c>
      <c r="K23" s="16" t="s">
        <v>15</v>
      </c>
      <c r="L23" s="16" t="s">
        <v>16</v>
      </c>
      <c r="M23" s="16" t="s">
        <v>16</v>
      </c>
      <c r="N23" s="16" t="s">
        <v>14</v>
      </c>
      <c r="O23" s="15" cm="1">
        <f t="array" ref="O23">SUMPRODUCT(_xlfn.XLOOKUP(G23:N23, $X$2:$X$6, $Y$2:$Y$6,0), $G$4:$N$4) / SUM($G$4:$N$4)</f>
        <v>3.1363636363636362</v>
      </c>
      <c r="P23" s="1" t="s">
        <v>16</v>
      </c>
      <c r="Q23" s="1" t="s">
        <v>14</v>
      </c>
      <c r="R23" s="1" t="s">
        <v>15</v>
      </c>
      <c r="S23" s="1" t="s">
        <v>14</v>
      </c>
      <c r="T23" s="1" t="s">
        <v>15</v>
      </c>
      <c r="U23" s="15" cm="1">
        <f t="array" ref="U23">SUMPRODUCT(_xlfn.XLOOKUP(P23:T23, $X$2:$X$6, $Y$2:$Y$6, 0), $P$4:$T$4) / SUM($P$4:$T$4)</f>
        <v>3.6</v>
      </c>
    </row>
    <row r="24" spans="1:21">
      <c r="A24" s="1">
        <v>2101118823</v>
      </c>
      <c r="B24" s="1" t="s">
        <v>62</v>
      </c>
      <c r="C24" s="1" t="s">
        <v>63</v>
      </c>
      <c r="D24" s="15" cm="1">
        <f t="array" ref="D24">(SUMPRODUCT(_xlfn.XLOOKUP(TRIM(G24:N24), $X$2:$X$6, $Y$2:$Y$6, 0), $G$4:$N$4) + SUMPRODUCT(_xlfn.XLOOKUP(TRIM(P24:T24), $X$2:$X$6, $Y$2:$Y$6, 0), $P$4:$T$4)) / SUM($G$4:$N$4, $P$4:$T$4)</f>
        <v>3.0270270270270272</v>
      </c>
      <c r="E24" s="1" t="s">
        <v>301</v>
      </c>
      <c r="G24" s="16" t="s">
        <v>17</v>
      </c>
      <c r="H24" s="16" t="s">
        <v>15</v>
      </c>
      <c r="I24" s="16" t="s">
        <v>15</v>
      </c>
      <c r="J24" s="16" t="s">
        <v>17</v>
      </c>
      <c r="K24" s="16" t="s">
        <v>17</v>
      </c>
      <c r="L24" s="16" t="s">
        <v>15</v>
      </c>
      <c r="M24" s="16" t="s">
        <v>16</v>
      </c>
      <c r="N24" s="16" t="s">
        <v>14</v>
      </c>
      <c r="O24" s="15" cm="1">
        <f t="array" ref="O24">SUMPRODUCT(_xlfn.XLOOKUP(G24:N24, $X$2:$X$6, $Y$2:$Y$6,0), $G$4:$N$4) / SUM($G$4:$N$4)</f>
        <v>2.9545454545454546</v>
      </c>
      <c r="P24" s="1" t="s">
        <v>17</v>
      </c>
      <c r="Q24" s="1" t="s">
        <v>17</v>
      </c>
      <c r="R24" s="1" t="s">
        <v>15</v>
      </c>
      <c r="S24" s="1" t="s">
        <v>14</v>
      </c>
      <c r="T24" s="1" t="s">
        <v>15</v>
      </c>
      <c r="U24" s="15" cm="1">
        <f t="array" ref="U24">SUMPRODUCT(_xlfn.XLOOKUP(P24:T24, $X$2:$X$6, $Y$2:$Y$6, 0), $P$4:$T$4) / SUM($P$4:$T$4)</f>
        <v>3.1333333333333333</v>
      </c>
    </row>
    <row r="25" spans="1:21">
      <c r="A25" s="1">
        <v>1104731923</v>
      </c>
      <c r="B25" s="1" t="s">
        <v>64</v>
      </c>
      <c r="C25" s="1" t="s">
        <v>65</v>
      </c>
      <c r="D25" s="15" cm="1">
        <f t="array" ref="D25">(SUMPRODUCT(_xlfn.XLOOKUP(TRIM(G25:N25), $X$2:$X$6, $Y$2:$Y$6, 0), $G$4:$N$4) + SUMPRODUCT(_xlfn.XLOOKUP(TRIM(P25:T25), $X$2:$X$6, $Y$2:$Y$6, 0), $P$4:$T$4)) / SUM($G$4:$N$4, $P$4:$T$4)</f>
        <v>2.9729729729729728</v>
      </c>
      <c r="E25" s="1" t="s">
        <v>301</v>
      </c>
      <c r="G25" s="16" t="s">
        <v>16</v>
      </c>
      <c r="H25" s="16" t="s">
        <v>15</v>
      </c>
      <c r="I25" s="16" t="s">
        <v>14</v>
      </c>
      <c r="J25" s="16" t="s">
        <v>17</v>
      </c>
      <c r="K25" s="16" t="s">
        <v>15</v>
      </c>
      <c r="L25" s="16" t="s">
        <v>17</v>
      </c>
      <c r="M25" s="16" t="s">
        <v>16</v>
      </c>
      <c r="N25" s="16" t="s">
        <v>16</v>
      </c>
      <c r="O25" s="15" cm="1">
        <f t="array" ref="O25">SUMPRODUCT(_xlfn.XLOOKUP(G25:N25, $X$2:$X$6, $Y$2:$Y$6,0), $G$4:$N$4) / SUM($G$4:$N$4)</f>
        <v>3.0454545454545454</v>
      </c>
      <c r="P25" s="1" t="s">
        <v>16</v>
      </c>
      <c r="Q25" s="1" t="s">
        <v>16</v>
      </c>
      <c r="R25" s="1" t="s">
        <v>15</v>
      </c>
      <c r="S25" s="1" t="s">
        <v>17</v>
      </c>
      <c r="T25" s="1" t="s">
        <v>16</v>
      </c>
      <c r="U25" s="15" cm="1">
        <f t="array" ref="U25">SUMPRODUCT(_xlfn.XLOOKUP(P25:T25, $X$2:$X$6, $Y$2:$Y$6, 0), $P$4:$T$4) / SUM($P$4:$T$4)</f>
        <v>2.8666666666666667</v>
      </c>
    </row>
    <row r="26" spans="1:21">
      <c r="A26" s="1">
        <v>2190017023</v>
      </c>
      <c r="B26" s="1" t="s">
        <v>66</v>
      </c>
      <c r="C26" s="1" t="s">
        <v>67</v>
      </c>
      <c r="D26" s="15" cm="1">
        <f t="array" ref="D26">(SUMPRODUCT(_xlfn.XLOOKUP(TRIM(G26:N26), $X$2:$X$6, $Y$2:$Y$6, 0), $G$4:$N$4) + SUMPRODUCT(_xlfn.XLOOKUP(TRIM(P26:T26), $X$2:$X$6, $Y$2:$Y$6, 0), $P$4:$T$4)) / SUM($G$4:$N$4, $P$4:$T$4)</f>
        <v>2.7297297297297298</v>
      </c>
      <c r="E26" s="1" t="s">
        <v>301</v>
      </c>
      <c r="G26" s="16" t="s">
        <v>14</v>
      </c>
      <c r="H26" s="16" t="s">
        <v>17</v>
      </c>
      <c r="I26" s="16" t="s">
        <v>17</v>
      </c>
      <c r="J26" s="16" t="s">
        <v>16</v>
      </c>
      <c r="K26" s="16" t="s">
        <v>17</v>
      </c>
      <c r="L26" s="16" t="s">
        <v>15</v>
      </c>
      <c r="M26" s="16" t="s">
        <v>17</v>
      </c>
      <c r="N26" s="16" t="s">
        <v>17</v>
      </c>
      <c r="O26" s="15" cm="1">
        <f t="array" ref="O26">SUMPRODUCT(_xlfn.XLOOKUP(G26:N26, $X$2:$X$6, $Y$2:$Y$6,0), $G$4:$N$4) / SUM($G$4:$N$4)</f>
        <v>2.5</v>
      </c>
      <c r="P26" s="1" t="s">
        <v>16</v>
      </c>
      <c r="Q26" s="1" t="s">
        <v>15</v>
      </c>
      <c r="R26" s="1" t="s">
        <v>16</v>
      </c>
      <c r="S26" s="1" t="s">
        <v>16</v>
      </c>
      <c r="T26" s="1" t="s">
        <v>16</v>
      </c>
      <c r="U26" s="15" cm="1">
        <f t="array" ref="U26">SUMPRODUCT(_xlfn.XLOOKUP(P26:T26, $X$2:$X$6, $Y$2:$Y$6, 0), $P$4:$T$4) / SUM($P$4:$T$4)</f>
        <v>3.0666666666666669</v>
      </c>
    </row>
    <row r="27" spans="1:21">
      <c r="A27" s="1">
        <v>2100157323</v>
      </c>
      <c r="B27" s="1" t="s">
        <v>68</v>
      </c>
      <c r="C27" s="1" t="s">
        <v>69</v>
      </c>
      <c r="D27" s="15" cm="1">
        <f t="array" ref="D27">(SUMPRODUCT(_xlfn.XLOOKUP(TRIM(G27:N27), $X$2:$X$6, $Y$2:$Y$6, 0), $G$4:$N$4) + SUMPRODUCT(_xlfn.XLOOKUP(TRIM(P27:T27), $X$2:$X$6, $Y$2:$Y$6, 0), $P$4:$T$4)) / SUM($G$4:$N$4, $P$4:$T$4)</f>
        <v>3.4054054054054053</v>
      </c>
      <c r="E27" s="1" t="s">
        <v>301</v>
      </c>
      <c r="G27" s="16" t="s">
        <v>15</v>
      </c>
      <c r="H27" s="16" t="s">
        <v>17</v>
      </c>
      <c r="I27" s="16" t="s">
        <v>14</v>
      </c>
      <c r="J27" s="16" t="s">
        <v>14</v>
      </c>
      <c r="K27" s="16" t="s">
        <v>17</v>
      </c>
      <c r="L27" s="16" t="s">
        <v>16</v>
      </c>
      <c r="M27" s="16" t="s">
        <v>15</v>
      </c>
      <c r="N27" s="16" t="s">
        <v>16</v>
      </c>
      <c r="O27" s="15" cm="1">
        <f t="array" ref="O27">SUMPRODUCT(_xlfn.XLOOKUP(G27:N27, $X$2:$X$6, $Y$2:$Y$6,0), $G$4:$N$4) / SUM($G$4:$N$4)</f>
        <v>3.1818181818181817</v>
      </c>
      <c r="P27" s="1" t="s">
        <v>16</v>
      </c>
      <c r="Q27" s="1" t="s">
        <v>14</v>
      </c>
      <c r="R27" s="1" t="s">
        <v>14</v>
      </c>
      <c r="S27" s="1" t="s">
        <v>14</v>
      </c>
      <c r="T27" s="1" t="s">
        <v>15</v>
      </c>
      <c r="U27" s="15" cm="1">
        <f t="array" ref="U27">SUMPRODUCT(_xlfn.XLOOKUP(P27:T27, $X$2:$X$6, $Y$2:$Y$6, 0), $P$4:$T$4) / SUM($P$4:$T$4)</f>
        <v>3.7333333333333334</v>
      </c>
    </row>
    <row r="28" spans="1:21">
      <c r="A28" s="1">
        <v>1101356423</v>
      </c>
      <c r="B28" s="1" t="s">
        <v>70</v>
      </c>
      <c r="C28" s="1" t="s">
        <v>71</v>
      </c>
      <c r="D28" s="15" cm="1">
        <f t="array" ref="D28">(SUMPRODUCT(_xlfn.XLOOKUP(TRIM(G28:N28), $X$2:$X$6, $Y$2:$Y$6, 0), $G$4:$N$4) + SUMPRODUCT(_xlfn.XLOOKUP(TRIM(P28:T28), $X$2:$X$6, $Y$2:$Y$6, 0), $P$4:$T$4)) / SUM($G$4:$N$4, $P$4:$T$4)</f>
        <v>3.0270270270270272</v>
      </c>
      <c r="E28" s="1" t="s">
        <v>301</v>
      </c>
      <c r="G28" s="16" t="s">
        <v>15</v>
      </c>
      <c r="H28" s="16" t="s">
        <v>17</v>
      </c>
      <c r="I28" s="16" t="s">
        <v>15</v>
      </c>
      <c r="J28" s="16" t="s">
        <v>15</v>
      </c>
      <c r="K28" s="16" t="s">
        <v>16</v>
      </c>
      <c r="L28" s="16" t="s">
        <v>17</v>
      </c>
      <c r="M28" s="16" t="s">
        <v>16</v>
      </c>
      <c r="N28" s="16" t="s">
        <v>15</v>
      </c>
      <c r="O28" s="15" cm="1">
        <f t="array" ref="O28">SUMPRODUCT(_xlfn.XLOOKUP(G28:N28, $X$2:$X$6, $Y$2:$Y$6,0), $G$4:$N$4) / SUM($G$4:$N$4)</f>
        <v>3</v>
      </c>
      <c r="P28" s="1" t="s">
        <v>17</v>
      </c>
      <c r="Q28" s="1" t="s">
        <v>15</v>
      </c>
      <c r="R28" s="1" t="s">
        <v>15</v>
      </c>
      <c r="S28" s="1" t="s">
        <v>16</v>
      </c>
      <c r="T28" s="1" t="s">
        <v>15</v>
      </c>
      <c r="U28" s="15" cm="1">
        <f t="array" ref="U28">SUMPRODUCT(_xlfn.XLOOKUP(P28:T28, $X$2:$X$6, $Y$2:$Y$6, 0), $P$4:$T$4) / SUM($P$4:$T$4)</f>
        <v>3.0666666666666669</v>
      </c>
    </row>
    <row r="29" spans="1:21">
      <c r="A29" s="1">
        <v>1102564223</v>
      </c>
      <c r="B29" s="1" t="s">
        <v>72</v>
      </c>
      <c r="C29" s="1" t="s">
        <v>73</v>
      </c>
      <c r="D29" s="15" cm="1">
        <f t="array" ref="D29">(SUMPRODUCT(_xlfn.XLOOKUP(TRIM(G29:N29), $X$2:$X$6, $Y$2:$Y$6, 0), $G$4:$N$4) + SUMPRODUCT(_xlfn.XLOOKUP(TRIM(P29:T29), $X$2:$X$6, $Y$2:$Y$6, 0), $P$4:$T$4)) / SUM($G$4:$N$4, $P$4:$T$4)</f>
        <v>3.0810810810810811</v>
      </c>
      <c r="E29" s="1" t="s">
        <v>301</v>
      </c>
      <c r="G29" s="16" t="s">
        <v>17</v>
      </c>
      <c r="H29" s="16" t="s">
        <v>16</v>
      </c>
      <c r="I29" s="16" t="s">
        <v>14</v>
      </c>
      <c r="J29" s="16" t="s">
        <v>15</v>
      </c>
      <c r="K29" s="16" t="s">
        <v>17</v>
      </c>
      <c r="L29" s="16" t="s">
        <v>15</v>
      </c>
      <c r="M29" s="16" t="s">
        <v>16</v>
      </c>
      <c r="N29" s="16" t="s">
        <v>15</v>
      </c>
      <c r="O29" s="15" cm="1">
        <f t="array" ref="O29">SUMPRODUCT(_xlfn.XLOOKUP(G29:N29, $X$2:$X$6, $Y$2:$Y$6,0), $G$4:$N$4) / SUM($G$4:$N$4)</f>
        <v>3.1818181818181817</v>
      </c>
      <c r="P29" s="1" t="s">
        <v>16</v>
      </c>
      <c r="Q29" s="1" t="s">
        <v>17</v>
      </c>
      <c r="R29" s="1" t="s">
        <v>14</v>
      </c>
      <c r="S29" s="1" t="s">
        <v>17</v>
      </c>
      <c r="T29" s="1" t="s">
        <v>15</v>
      </c>
      <c r="U29" s="15" cm="1">
        <f t="array" ref="U29">SUMPRODUCT(_xlfn.XLOOKUP(P29:T29, $X$2:$X$6, $Y$2:$Y$6, 0), $P$4:$T$4) / SUM($P$4:$T$4)</f>
        <v>2.9333333333333331</v>
      </c>
    </row>
    <row r="30" spans="1:21">
      <c r="A30" s="1">
        <v>2100087323</v>
      </c>
      <c r="B30" s="1" t="s">
        <v>74</v>
      </c>
      <c r="C30" s="1" t="s">
        <v>75</v>
      </c>
      <c r="D30" s="15" cm="1">
        <f t="array" ref="D30">(SUMPRODUCT(_xlfn.XLOOKUP(TRIM(G30:N30), $X$2:$X$6, $Y$2:$Y$6, 0), $G$4:$N$4) + SUMPRODUCT(_xlfn.XLOOKUP(TRIM(P30:T30), $X$2:$X$6, $Y$2:$Y$6, 0), $P$4:$T$4)) / SUM($G$4:$N$4, $P$4:$T$4)</f>
        <v>3.4054054054054053</v>
      </c>
      <c r="E30" s="1" t="s">
        <v>301</v>
      </c>
      <c r="G30" s="16" t="s">
        <v>15</v>
      </c>
      <c r="H30" s="16" t="s">
        <v>14</v>
      </c>
      <c r="I30" s="16" t="s">
        <v>15</v>
      </c>
      <c r="J30" s="16" t="s">
        <v>16</v>
      </c>
      <c r="K30" s="16" t="s">
        <v>16</v>
      </c>
      <c r="L30" s="16" t="s">
        <v>16</v>
      </c>
      <c r="M30" s="16" t="s">
        <v>17</v>
      </c>
      <c r="N30" s="16" t="s">
        <v>14</v>
      </c>
      <c r="O30" s="15" cm="1">
        <f t="array" ref="O30">SUMPRODUCT(_xlfn.XLOOKUP(G30:N30, $X$2:$X$6, $Y$2:$Y$6,0), $G$4:$N$4) / SUM($G$4:$N$4)</f>
        <v>3.3181818181818183</v>
      </c>
      <c r="P30" s="1" t="s">
        <v>16</v>
      </c>
      <c r="Q30" s="1" t="s">
        <v>17</v>
      </c>
      <c r="R30" s="1" t="s">
        <v>14</v>
      </c>
      <c r="S30" s="1" t="s">
        <v>14</v>
      </c>
      <c r="T30" s="1" t="s">
        <v>14</v>
      </c>
      <c r="U30" s="15" cm="1">
        <f t="array" ref="U30">SUMPRODUCT(_xlfn.XLOOKUP(P30:T30, $X$2:$X$6, $Y$2:$Y$6, 0), $P$4:$T$4) / SUM($P$4:$T$4)</f>
        <v>3.5333333333333332</v>
      </c>
    </row>
    <row r="31" spans="1:21">
      <c r="A31" s="1">
        <v>2100640923</v>
      </c>
      <c r="B31" s="1" t="s">
        <v>76</v>
      </c>
      <c r="C31" s="1" t="s">
        <v>77</v>
      </c>
      <c r="D31" s="15" cm="1">
        <f t="array" ref="D31">(SUMPRODUCT(_xlfn.XLOOKUP(TRIM(G31:N31), $X$2:$X$6, $Y$2:$Y$6, 0), $G$4:$N$4) + SUMPRODUCT(_xlfn.XLOOKUP(TRIM(P31:T31), $X$2:$X$6, $Y$2:$Y$6, 0), $P$4:$T$4)) / SUM($G$4:$N$4, $P$4:$T$4)</f>
        <v>3.0540540540540539</v>
      </c>
      <c r="E31" s="1" t="s">
        <v>301</v>
      </c>
      <c r="G31" s="16" t="s">
        <v>15</v>
      </c>
      <c r="H31" s="16" t="s">
        <v>15</v>
      </c>
      <c r="I31" s="16" t="s">
        <v>17</v>
      </c>
      <c r="J31" s="16" t="s">
        <v>17</v>
      </c>
      <c r="K31" s="16" t="s">
        <v>15</v>
      </c>
      <c r="L31" s="16" t="s">
        <v>15</v>
      </c>
      <c r="M31" s="16" t="s">
        <v>16</v>
      </c>
      <c r="N31" s="16" t="s">
        <v>17</v>
      </c>
      <c r="O31" s="15" cm="1">
        <f t="array" ref="O31">SUMPRODUCT(_xlfn.XLOOKUP(G31:N31, $X$2:$X$6, $Y$2:$Y$6,0), $G$4:$N$4) / SUM($G$4:$N$4)</f>
        <v>2.7727272727272729</v>
      </c>
      <c r="P31" s="1" t="s">
        <v>14</v>
      </c>
      <c r="Q31" s="1" t="s">
        <v>14</v>
      </c>
      <c r="R31" s="1" t="s">
        <v>16</v>
      </c>
      <c r="S31" s="1" t="s">
        <v>16</v>
      </c>
      <c r="T31" s="1" t="s">
        <v>14</v>
      </c>
      <c r="U31" s="15" cm="1">
        <f t="array" ref="U31">SUMPRODUCT(_xlfn.XLOOKUP(P31:T31, $X$2:$X$6, $Y$2:$Y$6, 0), $P$4:$T$4) / SUM($P$4:$T$4)</f>
        <v>3.4666666666666668</v>
      </c>
    </row>
    <row r="32" spans="1:21">
      <c r="A32" s="1">
        <v>2100176123</v>
      </c>
      <c r="B32" s="1" t="s">
        <v>78</v>
      </c>
      <c r="C32" s="1" t="s">
        <v>79</v>
      </c>
      <c r="D32" s="15" cm="1">
        <f t="array" ref="D32">(SUMPRODUCT(_xlfn.XLOOKUP(TRIM(G32:N32), $X$2:$X$6, $Y$2:$Y$6, 0), $G$4:$N$4) + SUMPRODUCT(_xlfn.XLOOKUP(TRIM(P32:T32), $X$2:$X$6, $Y$2:$Y$6, 0), $P$4:$T$4)) / SUM($G$4:$N$4, $P$4:$T$4)</f>
        <v>3.0405405405405403</v>
      </c>
      <c r="E32" s="1" t="s">
        <v>301</v>
      </c>
      <c r="G32" s="16" t="s">
        <v>14</v>
      </c>
      <c r="H32" s="16" t="s">
        <v>16</v>
      </c>
      <c r="I32" s="16" t="s">
        <v>16</v>
      </c>
      <c r="J32" s="16" t="s">
        <v>17</v>
      </c>
      <c r="K32" s="16" t="s">
        <v>16</v>
      </c>
      <c r="L32" s="16" t="s">
        <v>15</v>
      </c>
      <c r="M32" s="16" t="s">
        <v>14</v>
      </c>
      <c r="N32" s="16" t="s">
        <v>17</v>
      </c>
      <c r="O32" s="15" cm="1">
        <f t="array" ref="O32">SUMPRODUCT(_xlfn.XLOOKUP(G32:N32, $X$2:$X$6, $Y$2:$Y$6,0), $G$4:$N$4) / SUM($G$4:$N$4)</f>
        <v>2.9545454545454546</v>
      </c>
      <c r="P32" s="1" t="s">
        <v>15</v>
      </c>
      <c r="Q32" s="1" t="s">
        <v>16</v>
      </c>
      <c r="R32" s="1" t="s">
        <v>16</v>
      </c>
      <c r="S32" s="1" t="s">
        <v>16</v>
      </c>
      <c r="T32" s="1" t="s">
        <v>15</v>
      </c>
      <c r="U32" s="15" cm="1">
        <f t="array" ref="U32">SUMPRODUCT(_xlfn.XLOOKUP(P32:T32, $X$2:$X$6, $Y$2:$Y$6, 0), $P$4:$T$4) / SUM($P$4:$T$4)</f>
        <v>3.1666666666666665</v>
      </c>
    </row>
    <row r="33" spans="1:21">
      <c r="A33" s="1">
        <v>1100964323</v>
      </c>
      <c r="B33" s="1" t="s">
        <v>80</v>
      </c>
      <c r="C33" s="1" t="s">
        <v>81</v>
      </c>
      <c r="D33" s="15" cm="1">
        <f t="array" ref="D33">(SUMPRODUCT(_xlfn.XLOOKUP(TRIM(G33:N33), $X$2:$X$6, $Y$2:$Y$6, 0), $G$4:$N$4) + SUMPRODUCT(_xlfn.XLOOKUP(TRIM(P33:T33), $X$2:$X$6, $Y$2:$Y$6, 0), $P$4:$T$4)) / SUM($G$4:$N$4, $P$4:$T$4)</f>
        <v>3.0405405405405403</v>
      </c>
      <c r="E33" s="1" t="s">
        <v>301</v>
      </c>
      <c r="G33" s="16" t="s">
        <v>15</v>
      </c>
      <c r="H33" s="16" t="s">
        <v>16</v>
      </c>
      <c r="I33" s="16" t="s">
        <v>14</v>
      </c>
      <c r="J33" s="16" t="s">
        <v>16</v>
      </c>
      <c r="K33" s="16" t="s">
        <v>17</v>
      </c>
      <c r="L33" s="16" t="s">
        <v>17</v>
      </c>
      <c r="M33" s="16" t="s">
        <v>15</v>
      </c>
      <c r="N33" s="16" t="s">
        <v>17</v>
      </c>
      <c r="O33" s="15" cm="1">
        <f t="array" ref="O33">SUMPRODUCT(_xlfn.XLOOKUP(G33:N33, $X$2:$X$6, $Y$2:$Y$6,0), $G$4:$N$4) / SUM($G$4:$N$4)</f>
        <v>3</v>
      </c>
      <c r="P33" s="1" t="s">
        <v>15</v>
      </c>
      <c r="Q33" s="1" t="s">
        <v>16</v>
      </c>
      <c r="R33" s="1" t="s">
        <v>17</v>
      </c>
      <c r="S33" s="1" t="s">
        <v>14</v>
      </c>
      <c r="T33" s="1" t="s">
        <v>16</v>
      </c>
      <c r="U33" s="15" cm="1">
        <f t="array" ref="U33">SUMPRODUCT(_xlfn.XLOOKUP(P33:T33, $X$2:$X$6, $Y$2:$Y$6, 0), $P$4:$T$4) / SUM($P$4:$T$4)</f>
        <v>3.1</v>
      </c>
    </row>
    <row r="34" spans="1:21">
      <c r="A34" s="1">
        <v>1105447623</v>
      </c>
      <c r="B34" s="1" t="s">
        <v>82</v>
      </c>
      <c r="C34" s="1" t="s">
        <v>83</v>
      </c>
      <c r="D34" s="15" cm="1">
        <f t="array" ref="D34">(SUMPRODUCT(_xlfn.XLOOKUP(TRIM(G34:N34), $X$2:$X$6, $Y$2:$Y$6, 0), $G$4:$N$4) + SUMPRODUCT(_xlfn.XLOOKUP(TRIM(P34:T34), $X$2:$X$6, $Y$2:$Y$6, 0), $P$4:$T$4)) / SUM($G$4:$N$4, $P$4:$T$4)</f>
        <v>3.3243243243243241</v>
      </c>
      <c r="E34" s="1" t="s">
        <v>301</v>
      </c>
      <c r="G34" s="16" t="s">
        <v>16</v>
      </c>
      <c r="H34" s="16" t="s">
        <v>14</v>
      </c>
      <c r="I34" s="16" t="s">
        <v>14</v>
      </c>
      <c r="J34" s="16" t="s">
        <v>14</v>
      </c>
      <c r="K34" s="16" t="s">
        <v>14</v>
      </c>
      <c r="L34" s="16" t="s">
        <v>17</v>
      </c>
      <c r="M34" s="16" t="s">
        <v>17</v>
      </c>
      <c r="N34" s="16" t="s">
        <v>15</v>
      </c>
      <c r="O34" s="15" cm="1">
        <f t="array" ref="O34">SUMPRODUCT(_xlfn.XLOOKUP(G34:N34, $X$2:$X$6, $Y$2:$Y$6,0), $G$4:$N$4) / SUM($G$4:$N$4)</f>
        <v>3.5</v>
      </c>
      <c r="P34" s="1" t="s">
        <v>16</v>
      </c>
      <c r="Q34" s="1" t="s">
        <v>17</v>
      </c>
      <c r="R34" s="1" t="s">
        <v>16</v>
      </c>
      <c r="S34" s="1" t="s">
        <v>15</v>
      </c>
      <c r="T34" s="1" t="s">
        <v>15</v>
      </c>
      <c r="U34" s="15" cm="1">
        <f t="array" ref="U34">SUMPRODUCT(_xlfn.XLOOKUP(P34:T34, $X$2:$X$6, $Y$2:$Y$6, 0), $P$4:$T$4) / SUM($P$4:$T$4)</f>
        <v>3.0666666666666669</v>
      </c>
    </row>
    <row r="35" spans="1:21">
      <c r="A35" s="1">
        <v>2100284623</v>
      </c>
      <c r="B35" s="1" t="s">
        <v>84</v>
      </c>
      <c r="C35" s="1" t="s">
        <v>85</v>
      </c>
      <c r="D35" s="15" cm="1">
        <f t="array" ref="D35">(SUMPRODUCT(_xlfn.XLOOKUP(TRIM(G35:N35), $X$2:$X$6, $Y$2:$Y$6, 0), $G$4:$N$4) + SUMPRODUCT(_xlfn.XLOOKUP(TRIM(P35:T35), $X$2:$X$6, $Y$2:$Y$6, 0), $P$4:$T$4)) / SUM($G$4:$N$4, $P$4:$T$4)</f>
        <v>3.0135135135135136</v>
      </c>
      <c r="E35" s="1" t="s">
        <v>301</v>
      </c>
      <c r="G35" s="16" t="s">
        <v>15</v>
      </c>
      <c r="H35" s="16" t="s">
        <v>15</v>
      </c>
      <c r="I35" s="16" t="s">
        <v>15</v>
      </c>
      <c r="J35" s="16" t="s">
        <v>17</v>
      </c>
      <c r="K35" s="16" t="s">
        <v>15</v>
      </c>
      <c r="L35" s="16" t="s">
        <v>17</v>
      </c>
      <c r="M35" s="16" t="s">
        <v>16</v>
      </c>
      <c r="N35" s="16" t="s">
        <v>16</v>
      </c>
      <c r="O35" s="15" cm="1">
        <f t="array" ref="O35">SUMPRODUCT(_xlfn.XLOOKUP(G35:N35, $X$2:$X$6, $Y$2:$Y$6,0), $G$4:$N$4) / SUM($G$4:$N$4)</f>
        <v>3</v>
      </c>
      <c r="P35" s="1" t="s">
        <v>15</v>
      </c>
      <c r="Q35" s="1" t="s">
        <v>14</v>
      </c>
      <c r="R35" s="1" t="s">
        <v>17</v>
      </c>
      <c r="S35" s="1" t="s">
        <v>16</v>
      </c>
      <c r="T35" s="1" t="s">
        <v>15</v>
      </c>
      <c r="U35" s="15" cm="1">
        <f t="array" ref="U35">SUMPRODUCT(_xlfn.XLOOKUP(P35:T35, $X$2:$X$6, $Y$2:$Y$6, 0), $P$4:$T$4) / SUM($P$4:$T$4)</f>
        <v>3.0333333333333332</v>
      </c>
    </row>
    <row r="36" spans="1:21">
      <c r="A36" s="1">
        <v>1100091223</v>
      </c>
      <c r="B36" s="1" t="s">
        <v>86</v>
      </c>
      <c r="C36" s="1" t="s">
        <v>87</v>
      </c>
      <c r="D36" s="15" cm="1">
        <f t="array" ref="D36">(SUMPRODUCT(_xlfn.XLOOKUP(TRIM(G36:N36), $X$2:$X$6, $Y$2:$Y$6, 0), $G$4:$N$4) + SUMPRODUCT(_xlfn.XLOOKUP(TRIM(P36:T36), $X$2:$X$6, $Y$2:$Y$6, 0), $P$4:$T$4)) / SUM($G$4:$N$4, $P$4:$T$4)</f>
        <v>3.1351351351351351</v>
      </c>
      <c r="E36" s="1" t="s">
        <v>301</v>
      </c>
      <c r="G36" s="16" t="s">
        <v>15</v>
      </c>
      <c r="H36" s="16" t="s">
        <v>16</v>
      </c>
      <c r="I36" s="16" t="s">
        <v>14</v>
      </c>
      <c r="J36" s="16" t="s">
        <v>16</v>
      </c>
      <c r="K36" s="16" t="s">
        <v>15</v>
      </c>
      <c r="L36" s="16" t="s">
        <v>15</v>
      </c>
      <c r="M36" s="16" t="s">
        <v>14</v>
      </c>
      <c r="N36" s="16" t="s">
        <v>15</v>
      </c>
      <c r="O36" s="15" cm="1">
        <f t="array" ref="O36">SUMPRODUCT(_xlfn.XLOOKUP(G36:N36, $X$2:$X$6, $Y$2:$Y$6,0), $G$4:$N$4) / SUM($G$4:$N$4)</f>
        <v>3.4545454545454546</v>
      </c>
      <c r="P36" s="1" t="s">
        <v>16</v>
      </c>
      <c r="Q36" s="1" t="s">
        <v>15</v>
      </c>
      <c r="R36" s="1" t="s">
        <v>16</v>
      </c>
      <c r="S36" s="1" t="s">
        <v>17</v>
      </c>
      <c r="T36" s="1" t="s">
        <v>17</v>
      </c>
      <c r="U36" s="15" cm="1">
        <f t="array" ref="U36">SUMPRODUCT(_xlfn.XLOOKUP(P36:T36, $X$2:$X$6, $Y$2:$Y$6, 0), $P$4:$T$4) / SUM($P$4:$T$4)</f>
        <v>2.6666666666666665</v>
      </c>
    </row>
    <row r="37" spans="1:21">
      <c r="A37" s="1">
        <v>1100540023</v>
      </c>
      <c r="B37" s="1" t="s">
        <v>88</v>
      </c>
      <c r="C37" s="1" t="s">
        <v>89</v>
      </c>
      <c r="D37" s="15" cm="1">
        <f t="array" ref="D37">(SUMPRODUCT(_xlfn.XLOOKUP(TRIM(G37:N37), $X$2:$X$6, $Y$2:$Y$6, 0), $G$4:$N$4) + SUMPRODUCT(_xlfn.XLOOKUP(TRIM(P37:T37), $X$2:$X$6, $Y$2:$Y$6, 0), $P$4:$T$4)) / SUM($G$4:$N$4, $P$4:$T$4)</f>
        <v>2.8378378378378377</v>
      </c>
      <c r="E37" s="1" t="s">
        <v>301</v>
      </c>
      <c r="G37" s="16" t="s">
        <v>17</v>
      </c>
      <c r="H37" s="16" t="s">
        <v>16</v>
      </c>
      <c r="I37" s="16" t="s">
        <v>15</v>
      </c>
      <c r="J37" s="16" t="s">
        <v>16</v>
      </c>
      <c r="K37" s="16" t="s">
        <v>14</v>
      </c>
      <c r="L37" s="16" t="s">
        <v>17</v>
      </c>
      <c r="M37" s="16" t="s">
        <v>16</v>
      </c>
      <c r="N37" s="16" t="s">
        <v>16</v>
      </c>
      <c r="O37" s="15" cm="1">
        <f t="array" ref="O37">SUMPRODUCT(_xlfn.XLOOKUP(G37:N37, $X$2:$X$6, $Y$2:$Y$6,0), $G$4:$N$4) / SUM($G$4:$N$4)</f>
        <v>3</v>
      </c>
      <c r="P37" s="1" t="s">
        <v>16</v>
      </c>
      <c r="Q37" s="1" t="s">
        <v>17</v>
      </c>
      <c r="R37" s="1" t="s">
        <v>17</v>
      </c>
      <c r="S37" s="1" t="s">
        <v>15</v>
      </c>
      <c r="T37" s="1" t="s">
        <v>17</v>
      </c>
      <c r="U37" s="15" cm="1">
        <f t="array" ref="U37">SUMPRODUCT(_xlfn.XLOOKUP(P37:T37, $X$2:$X$6, $Y$2:$Y$6, 0), $P$4:$T$4) / SUM($P$4:$T$4)</f>
        <v>2.6</v>
      </c>
    </row>
    <row r="38" spans="1:21">
      <c r="A38" s="1">
        <v>1103071723</v>
      </c>
      <c r="B38" s="1" t="s">
        <v>90</v>
      </c>
      <c r="C38" s="1" t="s">
        <v>91</v>
      </c>
      <c r="D38" s="15" cm="1">
        <f t="array" ref="D38">(SUMPRODUCT(_xlfn.XLOOKUP(TRIM(G38:N38), $X$2:$X$6, $Y$2:$Y$6, 0), $G$4:$N$4) + SUMPRODUCT(_xlfn.XLOOKUP(TRIM(P38:T38), $X$2:$X$6, $Y$2:$Y$6, 0), $P$4:$T$4)) / SUM($G$4:$N$4, $P$4:$T$4)</f>
        <v>3.2162162162162162</v>
      </c>
      <c r="E38" s="1" t="s">
        <v>301</v>
      </c>
      <c r="G38" s="16" t="s">
        <v>16</v>
      </c>
      <c r="H38" s="16" t="s">
        <v>15</v>
      </c>
      <c r="I38" s="16" t="s">
        <v>16</v>
      </c>
      <c r="J38" s="16" t="s">
        <v>16</v>
      </c>
      <c r="K38" s="16" t="s">
        <v>14</v>
      </c>
      <c r="L38" s="16" t="s">
        <v>15</v>
      </c>
      <c r="M38" s="16" t="s">
        <v>16</v>
      </c>
      <c r="N38" s="16" t="s">
        <v>15</v>
      </c>
      <c r="O38" s="15" cm="1">
        <f t="array" ref="O38">SUMPRODUCT(_xlfn.XLOOKUP(G38:N38, $X$2:$X$6, $Y$2:$Y$6,0), $G$4:$N$4) / SUM($G$4:$N$4)</f>
        <v>3.2727272727272729</v>
      </c>
      <c r="P38" s="1" t="s">
        <v>17</v>
      </c>
      <c r="Q38" s="1" t="s">
        <v>14</v>
      </c>
      <c r="R38" s="1" t="s">
        <v>16</v>
      </c>
      <c r="S38" s="1" t="s">
        <v>15</v>
      </c>
      <c r="T38" s="1" t="s">
        <v>15</v>
      </c>
      <c r="U38" s="15" cm="1">
        <f t="array" ref="U38">SUMPRODUCT(_xlfn.XLOOKUP(P38:T38, $X$2:$X$6, $Y$2:$Y$6, 0), $P$4:$T$4) / SUM($P$4:$T$4)</f>
        <v>3.1333333333333333</v>
      </c>
    </row>
    <row r="39" spans="1:21">
      <c r="A39" s="1">
        <v>1101700523</v>
      </c>
      <c r="B39" s="1" t="s">
        <v>92</v>
      </c>
      <c r="C39" s="1" t="s">
        <v>93</v>
      </c>
      <c r="D39" s="15" cm="1">
        <f t="array" ref="D39">(SUMPRODUCT(_xlfn.XLOOKUP(TRIM(G39:N39), $X$2:$X$6, $Y$2:$Y$6, 0), $G$4:$N$4) + SUMPRODUCT(_xlfn.XLOOKUP(TRIM(P39:T39), $X$2:$X$6, $Y$2:$Y$6, 0), $P$4:$T$4)) / SUM($G$4:$N$4, $P$4:$T$4)</f>
        <v>3.1081081081081079</v>
      </c>
      <c r="E39" s="1" t="s">
        <v>301</v>
      </c>
      <c r="G39" s="16" t="s">
        <v>16</v>
      </c>
      <c r="H39" s="16" t="s">
        <v>17</v>
      </c>
      <c r="I39" s="16" t="s">
        <v>17</v>
      </c>
      <c r="J39" s="16" t="s">
        <v>16</v>
      </c>
      <c r="K39" s="16" t="s">
        <v>17</v>
      </c>
      <c r="L39" s="16" t="s">
        <v>14</v>
      </c>
      <c r="M39" s="16" t="s">
        <v>16</v>
      </c>
      <c r="N39" s="16" t="s">
        <v>15</v>
      </c>
      <c r="O39" s="15" cm="1">
        <f t="array" ref="O39">SUMPRODUCT(_xlfn.XLOOKUP(G39:N39, $X$2:$X$6, $Y$2:$Y$6,0), $G$4:$N$4) / SUM($G$4:$N$4)</f>
        <v>2.6818181818181817</v>
      </c>
      <c r="P39" s="1" t="s">
        <v>14</v>
      </c>
      <c r="Q39" s="1" t="s">
        <v>14</v>
      </c>
      <c r="R39" s="1" t="s">
        <v>14</v>
      </c>
      <c r="S39" s="1" t="s">
        <v>16</v>
      </c>
      <c r="T39" s="1" t="s">
        <v>14</v>
      </c>
      <c r="U39" s="15" cm="1">
        <f t="array" ref="U39">SUMPRODUCT(_xlfn.XLOOKUP(P39:T39, $X$2:$X$6, $Y$2:$Y$6, 0), $P$4:$T$4) / SUM($P$4:$T$4)</f>
        <v>3.7333333333333334</v>
      </c>
    </row>
    <row r="40" spans="1:21">
      <c r="A40" s="1">
        <v>1106432423</v>
      </c>
      <c r="B40" s="1" t="s">
        <v>94</v>
      </c>
      <c r="C40" s="1" t="s">
        <v>95</v>
      </c>
      <c r="D40" s="15" cm="1">
        <f t="array" ref="D40">(SUMPRODUCT(_xlfn.XLOOKUP(TRIM(G40:N40), $X$2:$X$6, $Y$2:$Y$6, 0), $G$4:$N$4) + SUMPRODUCT(_xlfn.XLOOKUP(TRIM(P40:T40), $X$2:$X$6, $Y$2:$Y$6, 0), $P$4:$T$4)) / SUM($G$4:$N$4, $P$4:$T$4)</f>
        <v>3.189189189189189</v>
      </c>
      <c r="E40" s="1" t="s">
        <v>301</v>
      </c>
      <c r="G40" s="16" t="s">
        <v>14</v>
      </c>
      <c r="H40" s="16" t="s">
        <v>17</v>
      </c>
      <c r="I40" s="16" t="s">
        <v>15</v>
      </c>
      <c r="J40" s="16" t="s">
        <v>14</v>
      </c>
      <c r="K40" s="16" t="s">
        <v>14</v>
      </c>
      <c r="L40" s="16" t="s">
        <v>17</v>
      </c>
      <c r="M40" s="16" t="s">
        <v>17</v>
      </c>
      <c r="N40" s="16" t="s">
        <v>14</v>
      </c>
      <c r="O40" s="15" cm="1">
        <f t="array" ref="O40">SUMPRODUCT(_xlfn.XLOOKUP(G40:N40, $X$2:$X$6, $Y$2:$Y$6,0), $G$4:$N$4) / SUM($G$4:$N$4)</f>
        <v>3.1818181818181817</v>
      </c>
      <c r="P40" s="1" t="s">
        <v>14</v>
      </c>
      <c r="Q40" s="1" t="s">
        <v>15</v>
      </c>
      <c r="R40" s="1" t="s">
        <v>15</v>
      </c>
      <c r="S40" s="1" t="s">
        <v>17</v>
      </c>
      <c r="T40" s="1" t="s">
        <v>15</v>
      </c>
      <c r="U40" s="15" cm="1">
        <f t="array" ref="U40">SUMPRODUCT(_xlfn.XLOOKUP(P40:T40, $X$2:$X$6, $Y$2:$Y$6, 0), $P$4:$T$4) / SUM($P$4:$T$4)</f>
        <v>3.2</v>
      </c>
    </row>
    <row r="41" spans="1:21">
      <c r="A41" s="1">
        <v>1102908723</v>
      </c>
      <c r="B41" s="1" t="s">
        <v>96</v>
      </c>
      <c r="C41" s="1" t="s">
        <v>97</v>
      </c>
      <c r="D41" s="15" cm="1">
        <f t="array" ref="D41">(SUMPRODUCT(_xlfn.XLOOKUP(TRIM(G41:N41), $X$2:$X$6, $Y$2:$Y$6, 0), $G$4:$N$4) + SUMPRODUCT(_xlfn.XLOOKUP(TRIM(P41:T41), $X$2:$X$6, $Y$2:$Y$6, 0), $P$4:$T$4)) / SUM($G$4:$N$4, $P$4:$T$4)</f>
        <v>3.0270270270270272</v>
      </c>
      <c r="E41" s="1" t="s">
        <v>301</v>
      </c>
      <c r="G41" s="16" t="s">
        <v>17</v>
      </c>
      <c r="H41" s="16" t="s">
        <v>14</v>
      </c>
      <c r="I41" s="16" t="s">
        <v>16</v>
      </c>
      <c r="J41" s="16" t="s">
        <v>17</v>
      </c>
      <c r="K41" s="16" t="s">
        <v>14</v>
      </c>
      <c r="L41" s="16" t="s">
        <v>14</v>
      </c>
      <c r="M41" s="16" t="s">
        <v>17</v>
      </c>
      <c r="N41" s="16" t="s">
        <v>14</v>
      </c>
      <c r="O41" s="15" cm="1">
        <f t="array" ref="O41">SUMPRODUCT(_xlfn.XLOOKUP(G41:N41, $X$2:$X$6, $Y$2:$Y$6,0), $G$4:$N$4) / SUM($G$4:$N$4)</f>
        <v>3.0909090909090908</v>
      </c>
      <c r="P41" s="1" t="s">
        <v>14</v>
      </c>
      <c r="Q41" s="1" t="s">
        <v>17</v>
      </c>
      <c r="R41" s="1" t="s">
        <v>17</v>
      </c>
      <c r="S41" s="1" t="s">
        <v>16</v>
      </c>
      <c r="T41" s="1" t="s">
        <v>14</v>
      </c>
      <c r="U41" s="15" cm="1">
        <f t="array" ref="U41">SUMPRODUCT(_xlfn.XLOOKUP(P41:T41, $X$2:$X$6, $Y$2:$Y$6, 0), $P$4:$T$4) / SUM($P$4:$T$4)</f>
        <v>2.9333333333333331</v>
      </c>
    </row>
    <row r="42" spans="1:21">
      <c r="A42" s="1">
        <v>1102768823</v>
      </c>
      <c r="B42" s="1" t="s">
        <v>98</v>
      </c>
      <c r="C42" s="1" t="s">
        <v>99</v>
      </c>
      <c r="D42" s="15" cm="1">
        <f t="array" ref="D42">(SUMPRODUCT(_xlfn.XLOOKUP(TRIM(G42:N42), $X$2:$X$6, $Y$2:$Y$6, 0), $G$4:$N$4) + SUMPRODUCT(_xlfn.XLOOKUP(TRIM(P42:T42), $X$2:$X$6, $Y$2:$Y$6, 0), $P$4:$T$4)) / SUM($G$4:$N$4, $P$4:$T$4)</f>
        <v>3.0270270270270272</v>
      </c>
      <c r="E42" s="1" t="s">
        <v>301</v>
      </c>
      <c r="G42" s="16" t="s">
        <v>17</v>
      </c>
      <c r="H42" s="16" t="s">
        <v>15</v>
      </c>
      <c r="I42" s="16" t="s">
        <v>15</v>
      </c>
      <c r="J42" s="16" t="s">
        <v>16</v>
      </c>
      <c r="K42" s="16" t="s">
        <v>16</v>
      </c>
      <c r="L42" s="16" t="s">
        <v>15</v>
      </c>
      <c r="M42" s="16" t="s">
        <v>17</v>
      </c>
      <c r="N42" s="16" t="s">
        <v>15</v>
      </c>
      <c r="O42" s="15" cm="1">
        <f t="array" ref="O42">SUMPRODUCT(_xlfn.XLOOKUP(G42:N42, $X$2:$X$6, $Y$2:$Y$6,0), $G$4:$N$4) / SUM($G$4:$N$4)</f>
        <v>3.0909090909090908</v>
      </c>
      <c r="P42" s="1" t="s">
        <v>14</v>
      </c>
      <c r="Q42" s="1" t="s">
        <v>17</v>
      </c>
      <c r="R42" s="1" t="s">
        <v>17</v>
      </c>
      <c r="S42" s="1" t="s">
        <v>16</v>
      </c>
      <c r="T42" s="1" t="s">
        <v>14</v>
      </c>
      <c r="U42" s="15" cm="1">
        <f t="array" ref="U42">SUMPRODUCT(_xlfn.XLOOKUP(P42:T42, $X$2:$X$6, $Y$2:$Y$6, 0), $P$4:$T$4) / SUM($P$4:$T$4)</f>
        <v>2.9333333333333331</v>
      </c>
    </row>
    <row r="43" spans="1:21">
      <c r="A43" s="1">
        <v>1101060023</v>
      </c>
      <c r="B43" s="1" t="s">
        <v>100</v>
      </c>
      <c r="C43" s="1" t="s">
        <v>101</v>
      </c>
      <c r="D43" s="15" cm="1">
        <f t="array" ref="D43">(SUMPRODUCT(_xlfn.XLOOKUP(TRIM(G43:N43), $X$2:$X$6, $Y$2:$Y$6, 0), $G$4:$N$4) + SUMPRODUCT(_xlfn.XLOOKUP(TRIM(P43:T43), $X$2:$X$6, $Y$2:$Y$6, 0), $P$4:$T$4)) / SUM($G$4:$N$4, $P$4:$T$4)</f>
        <v>3.189189189189189</v>
      </c>
      <c r="E43" s="1" t="s">
        <v>301</v>
      </c>
      <c r="G43" s="16" t="s">
        <v>16</v>
      </c>
      <c r="H43" s="16" t="s">
        <v>17</v>
      </c>
      <c r="I43" s="16" t="s">
        <v>15</v>
      </c>
      <c r="J43" s="16" t="s">
        <v>17</v>
      </c>
      <c r="K43" s="16" t="s">
        <v>14</v>
      </c>
      <c r="L43" s="16" t="s">
        <v>16</v>
      </c>
      <c r="M43" s="16" t="s">
        <v>17</v>
      </c>
      <c r="N43" s="16" t="s">
        <v>15</v>
      </c>
      <c r="O43" s="15" cm="1">
        <f t="array" ref="O43">SUMPRODUCT(_xlfn.XLOOKUP(G43:N43, $X$2:$X$6, $Y$2:$Y$6,0), $G$4:$N$4) / SUM($G$4:$N$4)</f>
        <v>2.7727272727272729</v>
      </c>
      <c r="P43" s="1" t="s">
        <v>14</v>
      </c>
      <c r="Q43" s="1" t="s">
        <v>14</v>
      </c>
      <c r="R43" s="1" t="s">
        <v>14</v>
      </c>
      <c r="S43" s="1" t="s">
        <v>15</v>
      </c>
      <c r="T43" s="1" t="s">
        <v>15</v>
      </c>
      <c r="U43" s="15" cm="1">
        <f t="array" ref="U43">SUMPRODUCT(_xlfn.XLOOKUP(P43:T43, $X$2:$X$6, $Y$2:$Y$6, 0), $P$4:$T$4) / SUM($P$4:$T$4)</f>
        <v>3.8</v>
      </c>
    </row>
    <row r="44" spans="1:21">
      <c r="A44" s="1">
        <v>1103249823</v>
      </c>
      <c r="B44" s="1" t="s">
        <v>102</v>
      </c>
      <c r="C44" s="1" t="s">
        <v>103</v>
      </c>
      <c r="D44" s="15" cm="1">
        <f t="array" ref="D44">(SUMPRODUCT(_xlfn.XLOOKUP(TRIM(G44:N44), $X$2:$X$6, $Y$2:$Y$6, 0), $G$4:$N$4) + SUMPRODUCT(_xlfn.XLOOKUP(TRIM(P44:T44), $X$2:$X$6, $Y$2:$Y$6, 0), $P$4:$T$4)) / SUM($G$4:$N$4, $P$4:$T$4)</f>
        <v>3.189189189189189</v>
      </c>
      <c r="E44" s="1" t="s">
        <v>301</v>
      </c>
      <c r="G44" s="16" t="s">
        <v>17</v>
      </c>
      <c r="H44" s="16" t="s">
        <v>15</v>
      </c>
      <c r="I44" s="16" t="s">
        <v>16</v>
      </c>
      <c r="J44" s="16" t="s">
        <v>15</v>
      </c>
      <c r="K44" s="16" t="s">
        <v>17</v>
      </c>
      <c r="L44" s="16" t="s">
        <v>16</v>
      </c>
      <c r="M44" s="16" t="s">
        <v>17</v>
      </c>
      <c r="N44" s="16" t="s">
        <v>16</v>
      </c>
      <c r="O44" s="15" cm="1">
        <f t="array" ref="O44">SUMPRODUCT(_xlfn.XLOOKUP(G44:N44, $X$2:$X$6, $Y$2:$Y$6,0), $G$4:$N$4) / SUM($G$4:$N$4)</f>
        <v>2.9090909090909092</v>
      </c>
      <c r="P44" s="1" t="s">
        <v>16</v>
      </c>
      <c r="Q44" s="1" t="s">
        <v>14</v>
      </c>
      <c r="R44" s="1" t="s">
        <v>15</v>
      </c>
      <c r="S44" s="1" t="s">
        <v>14</v>
      </c>
      <c r="T44" s="1" t="s">
        <v>15</v>
      </c>
      <c r="U44" s="15" cm="1">
        <f t="array" ref="U44">SUMPRODUCT(_xlfn.XLOOKUP(P44:T44, $X$2:$X$6, $Y$2:$Y$6, 0), $P$4:$T$4) / SUM($P$4:$T$4)</f>
        <v>3.6</v>
      </c>
    </row>
    <row r="45" spans="1:21">
      <c r="A45" s="1">
        <v>1106385423</v>
      </c>
      <c r="B45" s="1" t="s">
        <v>104</v>
      </c>
      <c r="C45" s="1" t="s">
        <v>105</v>
      </c>
      <c r="D45" s="15" cm="1">
        <f t="array" ref="D45">(SUMPRODUCT(_xlfn.XLOOKUP(TRIM(G45:N45), $X$2:$X$6, $Y$2:$Y$6, 0), $G$4:$N$4) + SUMPRODUCT(_xlfn.XLOOKUP(TRIM(P45:T45), $X$2:$X$6, $Y$2:$Y$6, 0), $P$4:$T$4)) / SUM($G$4:$N$4, $P$4:$T$4)</f>
        <v>3.4324324324324325</v>
      </c>
      <c r="E45" s="1" t="s">
        <v>301</v>
      </c>
      <c r="G45" s="16" t="s">
        <v>15</v>
      </c>
      <c r="H45" s="16" t="s">
        <v>15</v>
      </c>
      <c r="I45" s="16" t="s">
        <v>14</v>
      </c>
      <c r="J45" s="16" t="s">
        <v>17</v>
      </c>
      <c r="K45" s="16" t="s">
        <v>15</v>
      </c>
      <c r="L45" s="16" t="s">
        <v>15</v>
      </c>
      <c r="M45" s="16" t="s">
        <v>17</v>
      </c>
      <c r="N45" s="16" t="s">
        <v>14</v>
      </c>
      <c r="O45" s="15" cm="1">
        <f t="array" ref="O45">SUMPRODUCT(_xlfn.XLOOKUP(G45:N45, $X$2:$X$6, $Y$2:$Y$6,0), $G$4:$N$4) / SUM($G$4:$N$4)</f>
        <v>3.2272727272727271</v>
      </c>
      <c r="P45" s="1" t="s">
        <v>14</v>
      </c>
      <c r="Q45" s="1" t="s">
        <v>14</v>
      </c>
      <c r="R45" s="1" t="s">
        <v>14</v>
      </c>
      <c r="S45" s="1" t="s">
        <v>15</v>
      </c>
      <c r="T45" s="1" t="s">
        <v>16</v>
      </c>
      <c r="U45" s="15" cm="1">
        <f t="array" ref="U45">SUMPRODUCT(_xlfn.XLOOKUP(P45:T45, $X$2:$X$6, $Y$2:$Y$6, 0), $P$4:$T$4) / SUM($P$4:$T$4)</f>
        <v>3.7333333333333334</v>
      </c>
    </row>
    <row r="46" spans="1:21">
      <c r="A46" s="1">
        <v>2190015523</v>
      </c>
      <c r="B46" s="1" t="s">
        <v>106</v>
      </c>
      <c r="C46" s="1" t="s">
        <v>107</v>
      </c>
      <c r="D46" s="15" cm="1">
        <f t="array" ref="D46">(SUMPRODUCT(_xlfn.XLOOKUP(TRIM(G46:N46), $X$2:$X$6, $Y$2:$Y$6, 0), $G$4:$N$4) + SUMPRODUCT(_xlfn.XLOOKUP(TRIM(P46:T46), $X$2:$X$6, $Y$2:$Y$6, 0), $P$4:$T$4)) / SUM($G$4:$N$4, $P$4:$T$4)</f>
        <v>3.0270270270270272</v>
      </c>
      <c r="E46" s="1" t="s">
        <v>301</v>
      </c>
      <c r="G46" s="16" t="s">
        <v>15</v>
      </c>
      <c r="H46" s="16" t="s">
        <v>16</v>
      </c>
      <c r="I46" s="16" t="s">
        <v>15</v>
      </c>
      <c r="J46" s="16" t="s">
        <v>14</v>
      </c>
      <c r="K46" s="16" t="s">
        <v>14</v>
      </c>
      <c r="L46" s="16" t="s">
        <v>16</v>
      </c>
      <c r="M46" s="16" t="s">
        <v>15</v>
      </c>
      <c r="N46" s="16" t="s">
        <v>16</v>
      </c>
      <c r="O46" s="15" cm="1">
        <f t="array" ref="O46">SUMPRODUCT(_xlfn.XLOOKUP(G46:N46, $X$2:$X$6, $Y$2:$Y$6,0), $G$4:$N$4) / SUM($G$4:$N$4)</f>
        <v>3.4545454545454546</v>
      </c>
      <c r="P46" s="1" t="s">
        <v>17</v>
      </c>
      <c r="Q46" s="1" t="s">
        <v>16</v>
      </c>
      <c r="R46" s="1" t="s">
        <v>17</v>
      </c>
      <c r="S46" s="1" t="s">
        <v>16</v>
      </c>
      <c r="T46" s="1" t="s">
        <v>17</v>
      </c>
      <c r="U46" s="15" cm="1">
        <f t="array" ref="U46">SUMPRODUCT(_xlfn.XLOOKUP(P46:T46, $X$2:$X$6, $Y$2:$Y$6, 0), $P$4:$T$4) / SUM($P$4:$T$4)</f>
        <v>2.4</v>
      </c>
    </row>
    <row r="47" spans="1:21">
      <c r="A47" s="1">
        <v>2100487823</v>
      </c>
      <c r="B47" s="1" t="s">
        <v>108</v>
      </c>
      <c r="C47" s="1" t="s">
        <v>109</v>
      </c>
      <c r="D47" s="15" cm="1">
        <f t="array" ref="D47">(SUMPRODUCT(_xlfn.XLOOKUP(TRIM(G47:N47), $X$2:$X$6, $Y$2:$Y$6, 0), $G$4:$N$4) + SUMPRODUCT(_xlfn.XLOOKUP(TRIM(P47:T47), $X$2:$X$6, $Y$2:$Y$6, 0), $P$4:$T$4)) / SUM($G$4:$N$4, $P$4:$T$4)</f>
        <v>3.2432432432432434</v>
      </c>
      <c r="E47" s="1" t="s">
        <v>301</v>
      </c>
      <c r="G47" s="16" t="s">
        <v>14</v>
      </c>
      <c r="H47" s="16" t="s">
        <v>14</v>
      </c>
      <c r="I47" s="16" t="s">
        <v>15</v>
      </c>
      <c r="J47" s="16" t="s">
        <v>15</v>
      </c>
      <c r="K47" s="16" t="s">
        <v>14</v>
      </c>
      <c r="L47" s="16" t="s">
        <v>14</v>
      </c>
      <c r="M47" s="16" t="s">
        <v>14</v>
      </c>
      <c r="N47" s="16" t="s">
        <v>17</v>
      </c>
      <c r="O47" s="15" cm="1">
        <f t="array" ref="O47">SUMPRODUCT(_xlfn.XLOOKUP(G47:N47, $X$2:$X$6, $Y$2:$Y$6,0), $G$4:$N$4) / SUM($G$4:$N$4)</f>
        <v>3.6363636363636362</v>
      </c>
      <c r="P47" s="1" t="s">
        <v>17</v>
      </c>
      <c r="Q47" s="1" t="s">
        <v>14</v>
      </c>
      <c r="R47" s="1" t="s">
        <v>16</v>
      </c>
      <c r="S47" s="1" t="s">
        <v>17</v>
      </c>
      <c r="T47" s="1" t="s">
        <v>16</v>
      </c>
      <c r="U47" s="15" cm="1">
        <f t="array" ref="U47">SUMPRODUCT(_xlfn.XLOOKUP(P47:T47, $X$2:$X$6, $Y$2:$Y$6, 0), $P$4:$T$4) / SUM($P$4:$T$4)</f>
        <v>2.6666666666666665</v>
      </c>
    </row>
    <row r="48" spans="1:21">
      <c r="A48" s="1">
        <v>2190024323</v>
      </c>
      <c r="B48" s="1" t="s">
        <v>110</v>
      </c>
      <c r="C48" s="1" t="s">
        <v>111</v>
      </c>
      <c r="D48" s="15" cm="1">
        <f t="array" ref="D48">(SUMPRODUCT(_xlfn.XLOOKUP(TRIM(G48:N48), $X$2:$X$6, $Y$2:$Y$6, 0), $G$4:$N$4) + SUMPRODUCT(_xlfn.XLOOKUP(TRIM(P48:T48), $X$2:$X$6, $Y$2:$Y$6, 0), $P$4:$T$4)) / SUM($G$4:$N$4, $P$4:$T$4)</f>
        <v>3.2432432432432434</v>
      </c>
      <c r="E48" s="1" t="s">
        <v>301</v>
      </c>
      <c r="G48" s="16" t="s">
        <v>14</v>
      </c>
      <c r="H48" s="16" t="s">
        <v>16</v>
      </c>
      <c r="I48" s="16" t="s">
        <v>15</v>
      </c>
      <c r="J48" s="16" t="s">
        <v>14</v>
      </c>
      <c r="K48" s="16" t="s">
        <v>15</v>
      </c>
      <c r="L48" s="16" t="s">
        <v>17</v>
      </c>
      <c r="M48" s="16" t="s">
        <v>14</v>
      </c>
      <c r="N48" s="16" t="s">
        <v>16</v>
      </c>
      <c r="O48" s="15" cm="1">
        <f t="array" ref="O48">SUMPRODUCT(_xlfn.XLOOKUP(G48:N48, $X$2:$X$6, $Y$2:$Y$6,0), $G$4:$N$4) / SUM($G$4:$N$4)</f>
        <v>3.4090909090909092</v>
      </c>
      <c r="P48" s="1" t="s">
        <v>14</v>
      </c>
      <c r="Q48" s="1" t="s">
        <v>16</v>
      </c>
      <c r="R48" s="1" t="s">
        <v>17</v>
      </c>
      <c r="S48" s="1" t="s">
        <v>16</v>
      </c>
      <c r="T48" s="1" t="s">
        <v>15</v>
      </c>
      <c r="U48" s="15" cm="1">
        <f t="array" ref="U48">SUMPRODUCT(_xlfn.XLOOKUP(P48:T48, $X$2:$X$6, $Y$2:$Y$6, 0), $P$4:$T$4) / SUM($P$4:$T$4)</f>
        <v>3</v>
      </c>
    </row>
    <row r="49" spans="1:21">
      <c r="A49" s="1">
        <v>1100767323</v>
      </c>
      <c r="B49" s="1" t="s">
        <v>112</v>
      </c>
      <c r="C49" s="1" t="s">
        <v>113</v>
      </c>
      <c r="D49" s="15" cm="1">
        <f t="array" ref="D49">(SUMPRODUCT(_xlfn.XLOOKUP(TRIM(G49:N49), $X$2:$X$6, $Y$2:$Y$6, 0), $G$4:$N$4) + SUMPRODUCT(_xlfn.XLOOKUP(TRIM(P49:T49), $X$2:$X$6, $Y$2:$Y$6, 0), $P$4:$T$4)) / SUM($G$4:$N$4, $P$4:$T$4)</f>
        <v>2.8918918918918921</v>
      </c>
      <c r="E49" s="1" t="s">
        <v>301</v>
      </c>
      <c r="G49" s="16" t="s">
        <v>16</v>
      </c>
      <c r="H49" s="16" t="s">
        <v>16</v>
      </c>
      <c r="I49" s="16" t="s">
        <v>15</v>
      </c>
      <c r="J49" s="16" t="s">
        <v>17</v>
      </c>
      <c r="K49" s="16" t="s">
        <v>14</v>
      </c>
      <c r="L49" s="16" t="s">
        <v>17</v>
      </c>
      <c r="M49" s="16" t="s">
        <v>16</v>
      </c>
      <c r="N49" s="16" t="s">
        <v>17</v>
      </c>
      <c r="O49" s="15" cm="1">
        <f t="array" ref="O49">SUMPRODUCT(_xlfn.XLOOKUP(G49:N49, $X$2:$X$6, $Y$2:$Y$6,0), $G$4:$N$4) / SUM($G$4:$N$4)</f>
        <v>2.8181818181818183</v>
      </c>
      <c r="P49" s="1" t="s">
        <v>14</v>
      </c>
      <c r="Q49" s="1" t="s">
        <v>15</v>
      </c>
      <c r="R49" s="1" t="s">
        <v>17</v>
      </c>
      <c r="S49" s="1" t="s">
        <v>16</v>
      </c>
      <c r="T49" s="1" t="s">
        <v>16</v>
      </c>
      <c r="U49" s="15" cm="1">
        <f t="array" ref="U49">SUMPRODUCT(_xlfn.XLOOKUP(P49:T49, $X$2:$X$6, $Y$2:$Y$6, 0), $P$4:$T$4) / SUM($P$4:$T$4)</f>
        <v>3</v>
      </c>
    </row>
    <row r="50" spans="1:21">
      <c r="A50" s="1">
        <v>2200122223</v>
      </c>
      <c r="B50" s="1" t="s">
        <v>114</v>
      </c>
      <c r="C50" s="1" t="s">
        <v>115</v>
      </c>
      <c r="D50" s="15" cm="1">
        <f t="array" ref="D50">(SUMPRODUCT(_xlfn.XLOOKUP(TRIM(G50:N50), $X$2:$X$6, $Y$2:$Y$6, 0), $G$4:$N$4) + SUMPRODUCT(_xlfn.XLOOKUP(TRIM(P50:T50), $X$2:$X$6, $Y$2:$Y$6, 0), $P$4:$T$4)) / SUM($G$4:$N$4, $P$4:$T$4)</f>
        <v>3.3648648648648649</v>
      </c>
      <c r="E50" s="1" t="s">
        <v>301</v>
      </c>
      <c r="G50" s="16" t="s">
        <v>15</v>
      </c>
      <c r="H50" s="16" t="s">
        <v>15</v>
      </c>
      <c r="I50" s="16" t="s">
        <v>15</v>
      </c>
      <c r="J50" s="16" t="s">
        <v>16</v>
      </c>
      <c r="K50" s="16" t="s">
        <v>17</v>
      </c>
      <c r="L50" s="16" t="s">
        <v>15</v>
      </c>
      <c r="M50" s="16" t="s">
        <v>16</v>
      </c>
      <c r="N50" s="16" t="s">
        <v>17</v>
      </c>
      <c r="O50" s="15" cm="1">
        <f t="array" ref="O50">SUMPRODUCT(_xlfn.XLOOKUP(G50:N50, $X$2:$X$6, $Y$2:$Y$6,0), $G$4:$N$4) / SUM($G$4:$N$4)</f>
        <v>3.0909090909090908</v>
      </c>
      <c r="P50" s="1" t="s">
        <v>15</v>
      </c>
      <c r="Q50" s="1" t="s">
        <v>15</v>
      </c>
      <c r="R50" s="1" t="s">
        <v>14</v>
      </c>
      <c r="S50" s="1" t="s">
        <v>14</v>
      </c>
      <c r="T50" s="1" t="s">
        <v>15</v>
      </c>
      <c r="U50" s="15" cm="1">
        <f t="array" ref="U50">SUMPRODUCT(_xlfn.XLOOKUP(P50:T50, $X$2:$X$6, $Y$2:$Y$6, 0), $P$4:$T$4) / SUM($P$4:$T$4)</f>
        <v>3.7666666666666666</v>
      </c>
    </row>
    <row r="51" spans="1:21">
      <c r="A51" s="1">
        <v>1100051023</v>
      </c>
      <c r="B51" s="1" t="s">
        <v>116</v>
      </c>
      <c r="C51" s="1" t="s">
        <v>117</v>
      </c>
      <c r="D51" s="15" cm="1">
        <f t="array" ref="D51">(SUMPRODUCT(_xlfn.XLOOKUP(TRIM(G51:N51), $X$2:$X$6, $Y$2:$Y$6, 0), $G$4:$N$4) + SUMPRODUCT(_xlfn.XLOOKUP(TRIM(P51:T51), $X$2:$X$6, $Y$2:$Y$6, 0), $P$4:$T$4)) / SUM($G$4:$N$4, $P$4:$T$4)</f>
        <v>2.8243243243243241</v>
      </c>
      <c r="E51" s="1" t="s">
        <v>301</v>
      </c>
      <c r="G51" s="16" t="s">
        <v>15</v>
      </c>
      <c r="H51" s="16" t="s">
        <v>17</v>
      </c>
      <c r="I51" s="16" t="s">
        <v>14</v>
      </c>
      <c r="J51" s="16" t="s">
        <v>17</v>
      </c>
      <c r="K51" s="16" t="s">
        <v>17</v>
      </c>
      <c r="L51" s="16" t="s">
        <v>15</v>
      </c>
      <c r="M51" s="16" t="s">
        <v>16</v>
      </c>
      <c r="N51" s="16" t="s">
        <v>17</v>
      </c>
      <c r="O51" s="15" cm="1">
        <f t="array" ref="O51">SUMPRODUCT(_xlfn.XLOOKUP(G51:N51, $X$2:$X$6, $Y$2:$Y$6,0), $G$4:$N$4) / SUM($G$4:$N$4)</f>
        <v>2.7272727272727271</v>
      </c>
      <c r="P51" s="1" t="s">
        <v>15</v>
      </c>
      <c r="Q51" s="1" t="s">
        <v>14</v>
      </c>
      <c r="R51" s="1" t="s">
        <v>15</v>
      </c>
      <c r="S51" s="1" t="s">
        <v>17</v>
      </c>
      <c r="T51" s="1" t="s">
        <v>17</v>
      </c>
      <c r="U51" s="15" cm="1">
        <f t="array" ref="U51">SUMPRODUCT(_xlfn.XLOOKUP(P51:T51, $X$2:$X$6, $Y$2:$Y$6, 0), $P$4:$T$4) / SUM($P$4:$T$4)</f>
        <v>2.9666666666666668</v>
      </c>
    </row>
    <row r="52" spans="1:21">
      <c r="A52" s="1">
        <v>1100033323</v>
      </c>
      <c r="B52" s="1" t="s">
        <v>118</v>
      </c>
      <c r="C52" s="1" t="s">
        <v>119</v>
      </c>
      <c r="D52" s="15" cm="1">
        <f t="array" ref="D52">(SUMPRODUCT(_xlfn.XLOOKUP(TRIM(G52:N52), $X$2:$X$6, $Y$2:$Y$6, 0), $G$4:$N$4) + SUMPRODUCT(_xlfn.XLOOKUP(TRIM(P52:T52), $X$2:$X$6, $Y$2:$Y$6, 0), $P$4:$T$4)) / SUM($G$4:$N$4, $P$4:$T$4)</f>
        <v>3.1081081081081079</v>
      </c>
      <c r="E52" s="1" t="s">
        <v>301</v>
      </c>
      <c r="G52" s="16" t="s">
        <v>17</v>
      </c>
      <c r="H52" s="16" t="s">
        <v>15</v>
      </c>
      <c r="I52" s="16" t="s">
        <v>17</v>
      </c>
      <c r="J52" s="16" t="s">
        <v>15</v>
      </c>
      <c r="K52" s="16" t="s">
        <v>16</v>
      </c>
      <c r="L52" s="16" t="s">
        <v>16</v>
      </c>
      <c r="M52" s="16" t="s">
        <v>15</v>
      </c>
      <c r="N52" s="16" t="s">
        <v>17</v>
      </c>
      <c r="O52" s="15" cm="1">
        <f t="array" ref="O52">SUMPRODUCT(_xlfn.XLOOKUP(G52:N52, $X$2:$X$6, $Y$2:$Y$6,0), $G$4:$N$4) / SUM($G$4:$N$4)</f>
        <v>2.8636363636363638</v>
      </c>
      <c r="P52" s="1" t="s">
        <v>16</v>
      </c>
      <c r="Q52" s="1" t="s">
        <v>15</v>
      </c>
      <c r="R52" s="1" t="s">
        <v>14</v>
      </c>
      <c r="S52" s="1" t="s">
        <v>15</v>
      </c>
      <c r="T52" s="1" t="s">
        <v>16</v>
      </c>
      <c r="U52" s="15" cm="1">
        <f t="array" ref="U52">SUMPRODUCT(_xlfn.XLOOKUP(P52:T52, $X$2:$X$6, $Y$2:$Y$6, 0), $P$4:$T$4) / SUM($P$4:$T$4)</f>
        <v>3.4666666666666668</v>
      </c>
    </row>
    <row r="53" spans="1:21">
      <c r="A53" s="1">
        <v>1102114123</v>
      </c>
      <c r="B53" s="1" t="s">
        <v>120</v>
      </c>
      <c r="C53" s="1" t="s">
        <v>121</v>
      </c>
      <c r="D53" s="15" cm="1">
        <f t="array" ref="D53">(SUMPRODUCT(_xlfn.XLOOKUP(TRIM(G53:N53), $X$2:$X$6, $Y$2:$Y$6, 0), $G$4:$N$4) + SUMPRODUCT(_xlfn.XLOOKUP(TRIM(P53:T53), $X$2:$X$6, $Y$2:$Y$6, 0), $P$4:$T$4)) / SUM($G$4:$N$4, $P$4:$T$4)</f>
        <v>2.8918918918918921</v>
      </c>
      <c r="E53" s="1" t="s">
        <v>301</v>
      </c>
      <c r="G53" s="16" t="s">
        <v>14</v>
      </c>
      <c r="H53" s="16" t="s">
        <v>17</v>
      </c>
      <c r="I53" s="16" t="s">
        <v>15</v>
      </c>
      <c r="J53" s="16" t="s">
        <v>15</v>
      </c>
      <c r="K53" s="16" t="s">
        <v>15</v>
      </c>
      <c r="L53" s="16" t="s">
        <v>17</v>
      </c>
      <c r="M53" s="16" t="s">
        <v>14</v>
      </c>
      <c r="N53" s="16" t="s">
        <v>14</v>
      </c>
      <c r="O53" s="15" cm="1">
        <f t="array" ref="O53">SUMPRODUCT(_xlfn.XLOOKUP(G53:N53, $X$2:$X$6, $Y$2:$Y$6,0), $G$4:$N$4) / SUM($G$4:$N$4)</f>
        <v>3.2272727272727271</v>
      </c>
      <c r="P53" s="1" t="s">
        <v>17</v>
      </c>
      <c r="Q53" s="1" t="s">
        <v>15</v>
      </c>
      <c r="R53" s="1" t="s">
        <v>17</v>
      </c>
      <c r="S53" s="1" t="s">
        <v>17</v>
      </c>
      <c r="T53" s="1" t="s">
        <v>15</v>
      </c>
      <c r="U53" s="15" cm="1">
        <f t="array" ref="U53">SUMPRODUCT(_xlfn.XLOOKUP(P53:T53, $X$2:$X$6, $Y$2:$Y$6, 0), $P$4:$T$4) / SUM($P$4:$T$4)</f>
        <v>2.4</v>
      </c>
    </row>
    <row r="54" spans="1:21">
      <c r="A54" s="1">
        <v>1190136623</v>
      </c>
      <c r="B54" s="1" t="s">
        <v>122</v>
      </c>
      <c r="C54" s="1" t="s">
        <v>123</v>
      </c>
      <c r="D54" s="15" cm="1">
        <f t="array" ref="D54">(SUMPRODUCT(_xlfn.XLOOKUP(TRIM(G54:N54), $X$2:$X$6, $Y$2:$Y$6, 0), $G$4:$N$4) + SUMPRODUCT(_xlfn.XLOOKUP(TRIM(P54:T54), $X$2:$X$6, $Y$2:$Y$6, 0), $P$4:$T$4)) / SUM($G$4:$N$4, $P$4:$T$4)</f>
        <v>3.5945945945945947</v>
      </c>
      <c r="E54" s="1" t="s">
        <v>301</v>
      </c>
      <c r="G54" s="16" t="s">
        <v>16</v>
      </c>
      <c r="H54" s="16" t="s">
        <v>15</v>
      </c>
      <c r="I54" s="16" t="s">
        <v>14</v>
      </c>
      <c r="J54" s="16" t="s">
        <v>15</v>
      </c>
      <c r="K54" s="16" t="s">
        <v>17</v>
      </c>
      <c r="L54" s="16" t="s">
        <v>15</v>
      </c>
      <c r="M54" s="16" t="s">
        <v>14</v>
      </c>
      <c r="N54" s="16" t="s">
        <v>14</v>
      </c>
      <c r="O54" s="15" cm="1">
        <f t="array" ref="O54">SUMPRODUCT(_xlfn.XLOOKUP(G54:N54, $X$2:$X$6, $Y$2:$Y$6,0), $G$4:$N$4) / SUM($G$4:$N$4)</f>
        <v>3.5</v>
      </c>
      <c r="P54" s="1" t="s">
        <v>14</v>
      </c>
      <c r="Q54" s="1" t="s">
        <v>16</v>
      </c>
      <c r="R54" s="1" t="s">
        <v>14</v>
      </c>
      <c r="S54" s="1" t="s">
        <v>14</v>
      </c>
      <c r="T54" s="1" t="s">
        <v>16</v>
      </c>
      <c r="U54" s="15" cm="1">
        <f t="array" ref="U54">SUMPRODUCT(_xlfn.XLOOKUP(P54:T54, $X$2:$X$6, $Y$2:$Y$6, 0), $P$4:$T$4) / SUM($P$4:$T$4)</f>
        <v>3.7333333333333334</v>
      </c>
    </row>
    <row r="55" spans="1:21">
      <c r="A55" s="1">
        <v>2200111823</v>
      </c>
      <c r="B55" s="1" t="s">
        <v>124</v>
      </c>
      <c r="C55" s="1" t="s">
        <v>125</v>
      </c>
      <c r="D55" s="15" cm="1">
        <f t="array" ref="D55">(SUMPRODUCT(_xlfn.XLOOKUP(TRIM(G55:N55), $X$2:$X$6, $Y$2:$Y$6, 0), $G$4:$N$4) + SUMPRODUCT(_xlfn.XLOOKUP(TRIM(P55:T55), $X$2:$X$6, $Y$2:$Y$6, 0), $P$4:$T$4)) / SUM($G$4:$N$4, $P$4:$T$4)</f>
        <v>2.7837837837837838</v>
      </c>
      <c r="E55" s="1" t="s">
        <v>301</v>
      </c>
      <c r="G55" s="16" t="s">
        <v>17</v>
      </c>
      <c r="H55" s="16" t="s">
        <v>15</v>
      </c>
      <c r="I55" s="16" t="s">
        <v>17</v>
      </c>
      <c r="J55" s="16" t="s">
        <v>16</v>
      </c>
      <c r="K55" s="16" t="s">
        <v>17</v>
      </c>
      <c r="L55" s="16" t="s">
        <v>15</v>
      </c>
      <c r="M55" s="16" t="s">
        <v>16</v>
      </c>
      <c r="N55" s="16" t="s">
        <v>14</v>
      </c>
      <c r="O55" s="15" cm="1">
        <f t="array" ref="O55">SUMPRODUCT(_xlfn.XLOOKUP(G55:N55, $X$2:$X$6, $Y$2:$Y$6,0), $G$4:$N$4) / SUM($G$4:$N$4)</f>
        <v>2.8636363636363638</v>
      </c>
      <c r="P55" s="1" t="s">
        <v>16</v>
      </c>
      <c r="Q55" s="1" t="s">
        <v>14</v>
      </c>
      <c r="R55" s="1" t="s">
        <v>17</v>
      </c>
      <c r="S55" s="1" t="s">
        <v>17</v>
      </c>
      <c r="T55" s="1" t="s">
        <v>15</v>
      </c>
      <c r="U55" s="15" cm="1">
        <f t="array" ref="U55">SUMPRODUCT(_xlfn.XLOOKUP(P55:T55, $X$2:$X$6, $Y$2:$Y$6, 0), $P$4:$T$4) / SUM($P$4:$T$4)</f>
        <v>2.6666666666666665</v>
      </c>
    </row>
    <row r="56" spans="1:21">
      <c r="A56" s="1">
        <v>1100215023</v>
      </c>
      <c r="B56" s="1" t="s">
        <v>126</v>
      </c>
      <c r="C56" s="1" t="s">
        <v>127</v>
      </c>
      <c r="D56" s="15" cm="1">
        <f t="array" ref="D56">(SUMPRODUCT(_xlfn.XLOOKUP(TRIM(G56:N56), $X$2:$X$6, $Y$2:$Y$6, 0), $G$4:$N$4) + SUMPRODUCT(_xlfn.XLOOKUP(TRIM(P56:T56), $X$2:$X$6, $Y$2:$Y$6, 0), $P$4:$T$4)) / SUM($G$4:$N$4, $P$4:$T$4)</f>
        <v>2.9459459459459461</v>
      </c>
      <c r="E56" s="1" t="s">
        <v>301</v>
      </c>
      <c r="G56" s="16" t="s">
        <v>14</v>
      </c>
      <c r="H56" s="16" t="s">
        <v>15</v>
      </c>
      <c r="I56" s="16" t="s">
        <v>14</v>
      </c>
      <c r="J56" s="16" t="s">
        <v>16</v>
      </c>
      <c r="K56" s="16" t="s">
        <v>17</v>
      </c>
      <c r="L56" s="16" t="s">
        <v>17</v>
      </c>
      <c r="M56" s="16" t="s">
        <v>17</v>
      </c>
      <c r="N56" s="16" t="s">
        <v>16</v>
      </c>
      <c r="O56" s="15" cm="1">
        <f t="array" ref="O56">SUMPRODUCT(_xlfn.XLOOKUP(G56:N56, $X$2:$X$6, $Y$2:$Y$6,0), $G$4:$N$4) / SUM($G$4:$N$4)</f>
        <v>3.0909090909090908</v>
      </c>
      <c r="P56" s="1" t="s">
        <v>17</v>
      </c>
      <c r="Q56" s="1" t="s">
        <v>15</v>
      </c>
      <c r="R56" s="1" t="s">
        <v>17</v>
      </c>
      <c r="S56" s="1" t="s">
        <v>14</v>
      </c>
      <c r="T56" s="1" t="s">
        <v>17</v>
      </c>
      <c r="U56" s="15" cm="1">
        <f t="array" ref="U56">SUMPRODUCT(_xlfn.XLOOKUP(P56:T56, $X$2:$X$6, $Y$2:$Y$6, 0), $P$4:$T$4) / SUM($P$4:$T$4)</f>
        <v>2.7333333333333334</v>
      </c>
    </row>
    <row r="57" spans="1:21">
      <c r="A57" s="1">
        <v>1100896123</v>
      </c>
      <c r="B57" s="1" t="s">
        <v>128</v>
      </c>
      <c r="C57" s="1" t="s">
        <v>129</v>
      </c>
      <c r="D57" s="15" cm="1">
        <f t="array" ref="D57">(SUMPRODUCT(_xlfn.XLOOKUP(TRIM(G57:N57), $X$2:$X$6, $Y$2:$Y$6, 0), $G$4:$N$4) + SUMPRODUCT(_xlfn.XLOOKUP(TRIM(P57:T57), $X$2:$X$6, $Y$2:$Y$6, 0), $P$4:$T$4)) / SUM($G$4:$N$4, $P$4:$T$4)</f>
        <v>3.2162162162162162</v>
      </c>
      <c r="E57" s="1" t="s">
        <v>301</v>
      </c>
      <c r="G57" s="16" t="s">
        <v>17</v>
      </c>
      <c r="H57" s="16" t="s">
        <v>15</v>
      </c>
      <c r="I57" s="16" t="s">
        <v>14</v>
      </c>
      <c r="J57" s="16" t="s">
        <v>14</v>
      </c>
      <c r="K57" s="16" t="s">
        <v>14</v>
      </c>
      <c r="L57" s="16" t="s">
        <v>16</v>
      </c>
      <c r="M57" s="16" t="s">
        <v>16</v>
      </c>
      <c r="N57" s="16" t="s">
        <v>15</v>
      </c>
      <c r="O57" s="15" cm="1">
        <f t="array" ref="O57">SUMPRODUCT(_xlfn.XLOOKUP(G57:N57, $X$2:$X$6, $Y$2:$Y$6,0), $G$4:$N$4) / SUM($G$4:$N$4)</f>
        <v>3.5</v>
      </c>
      <c r="P57" s="1" t="s">
        <v>17</v>
      </c>
      <c r="Q57" s="1" t="s">
        <v>15</v>
      </c>
      <c r="R57" s="1" t="s">
        <v>15</v>
      </c>
      <c r="S57" s="1" t="s">
        <v>17</v>
      </c>
      <c r="T57" s="1" t="s">
        <v>15</v>
      </c>
      <c r="U57" s="15" cm="1">
        <f t="array" ref="U57">SUMPRODUCT(_xlfn.XLOOKUP(P57:T57, $X$2:$X$6, $Y$2:$Y$6, 0), $P$4:$T$4) / SUM($P$4:$T$4)</f>
        <v>2.8</v>
      </c>
    </row>
    <row r="58" spans="1:21">
      <c r="A58" s="1">
        <v>1190152923</v>
      </c>
      <c r="B58" s="1" t="s">
        <v>130</v>
      </c>
      <c r="C58" s="1" t="s">
        <v>131</v>
      </c>
      <c r="D58" s="15" cm="1">
        <f t="array" ref="D58">(SUMPRODUCT(_xlfn.XLOOKUP(TRIM(G58:N58), $X$2:$X$6, $Y$2:$Y$6, 0), $G$4:$N$4) + SUMPRODUCT(_xlfn.XLOOKUP(TRIM(P58:T58), $X$2:$X$6, $Y$2:$Y$6, 0), $P$4:$T$4)) / SUM($G$4:$N$4, $P$4:$T$4)</f>
        <v>3.0270270270270272</v>
      </c>
      <c r="E58" s="1" t="s">
        <v>301</v>
      </c>
      <c r="G58" s="16" t="s">
        <v>17</v>
      </c>
      <c r="H58" s="16" t="s">
        <v>15</v>
      </c>
      <c r="I58" s="16" t="s">
        <v>16</v>
      </c>
      <c r="J58" s="16" t="s">
        <v>15</v>
      </c>
      <c r="K58" s="16" t="s">
        <v>16</v>
      </c>
      <c r="L58" s="16" t="s">
        <v>17</v>
      </c>
      <c r="M58" s="16" t="s">
        <v>16</v>
      </c>
      <c r="N58" s="16" t="s">
        <v>16</v>
      </c>
      <c r="O58" s="15" cm="1">
        <f t="array" ref="O58">SUMPRODUCT(_xlfn.XLOOKUP(G58:N58, $X$2:$X$6, $Y$2:$Y$6,0), $G$4:$N$4) / SUM($G$4:$N$4)</f>
        <v>3</v>
      </c>
      <c r="P58" s="1" t="s">
        <v>17</v>
      </c>
      <c r="Q58" s="1" t="s">
        <v>14</v>
      </c>
      <c r="R58" s="1" t="s">
        <v>16</v>
      </c>
      <c r="S58" s="1" t="s">
        <v>14</v>
      </c>
      <c r="T58" s="1" t="s">
        <v>17</v>
      </c>
      <c r="U58" s="15" cm="1">
        <f t="array" ref="U58">SUMPRODUCT(_xlfn.XLOOKUP(P58:T58, $X$2:$X$6, $Y$2:$Y$6, 0), $P$4:$T$4) / SUM($P$4:$T$4)</f>
        <v>3.0666666666666669</v>
      </c>
    </row>
    <row r="59" spans="1:21">
      <c r="A59" s="1">
        <v>2100251423</v>
      </c>
      <c r="B59" s="1" t="s">
        <v>132</v>
      </c>
      <c r="C59" s="1" t="s">
        <v>133</v>
      </c>
      <c r="D59" s="15" cm="1">
        <f t="array" ref="D59">(SUMPRODUCT(_xlfn.XLOOKUP(TRIM(G59:N59), $X$2:$X$6, $Y$2:$Y$6, 0), $G$4:$N$4) + SUMPRODUCT(_xlfn.XLOOKUP(TRIM(P59:T59), $X$2:$X$6, $Y$2:$Y$6, 0), $P$4:$T$4)) / SUM($G$4:$N$4, $P$4:$T$4)</f>
        <v>2.7567567567567566</v>
      </c>
      <c r="E59" s="1" t="s">
        <v>301</v>
      </c>
      <c r="G59" s="16" t="s">
        <v>17</v>
      </c>
      <c r="H59" s="16" t="s">
        <v>16</v>
      </c>
      <c r="I59" s="16" t="s">
        <v>15</v>
      </c>
      <c r="J59" s="16" t="s">
        <v>17</v>
      </c>
      <c r="K59" s="16" t="s">
        <v>15</v>
      </c>
      <c r="L59" s="16" t="s">
        <v>14</v>
      </c>
      <c r="M59" s="16" t="s">
        <v>16</v>
      </c>
      <c r="N59" s="16" t="s">
        <v>17</v>
      </c>
      <c r="O59" s="15" cm="1">
        <f t="array" ref="O59">SUMPRODUCT(_xlfn.XLOOKUP(G59:N59, $X$2:$X$6, $Y$2:$Y$6,0), $G$4:$N$4) / SUM($G$4:$N$4)</f>
        <v>2.8636363636363638</v>
      </c>
      <c r="P59" s="1" t="s">
        <v>17</v>
      </c>
      <c r="Q59" s="1" t="s">
        <v>15</v>
      </c>
      <c r="R59" s="1" t="s">
        <v>17</v>
      </c>
      <c r="S59" s="1" t="s">
        <v>16</v>
      </c>
      <c r="T59" s="1" t="s">
        <v>16</v>
      </c>
      <c r="U59" s="15" cm="1">
        <f t="array" ref="U59">SUMPRODUCT(_xlfn.XLOOKUP(P59:T59, $X$2:$X$6, $Y$2:$Y$6, 0), $P$4:$T$4) / SUM($P$4:$T$4)</f>
        <v>2.6</v>
      </c>
    </row>
    <row r="60" spans="1:21">
      <c r="A60" s="1">
        <v>1190023123</v>
      </c>
      <c r="B60" s="1" t="s">
        <v>134</v>
      </c>
      <c r="C60" s="1" t="s">
        <v>135</v>
      </c>
      <c r="D60" s="15" cm="1">
        <f t="array" ref="D60">(SUMPRODUCT(_xlfn.XLOOKUP(TRIM(G60:N60), $X$2:$X$6, $Y$2:$Y$6, 0), $G$4:$N$4) + SUMPRODUCT(_xlfn.XLOOKUP(TRIM(P60:T60), $X$2:$X$6, $Y$2:$Y$6, 0), $P$4:$T$4)) / SUM($G$4:$N$4, $P$4:$T$4)</f>
        <v>2.9729729729729728</v>
      </c>
      <c r="E60" s="1" t="s">
        <v>301</v>
      </c>
      <c r="G60" s="16" t="s">
        <v>15</v>
      </c>
      <c r="H60" s="16" t="s">
        <v>15</v>
      </c>
      <c r="I60" s="16" t="s">
        <v>16</v>
      </c>
      <c r="J60" s="16" t="s">
        <v>17</v>
      </c>
      <c r="K60" s="16" t="s">
        <v>16</v>
      </c>
      <c r="L60" s="16" t="s">
        <v>17</v>
      </c>
      <c r="M60" s="16" t="s">
        <v>15</v>
      </c>
      <c r="N60" s="16" t="s">
        <v>14</v>
      </c>
      <c r="O60" s="15" cm="1">
        <f t="array" ref="O60">SUMPRODUCT(_xlfn.XLOOKUP(G60:N60, $X$2:$X$6, $Y$2:$Y$6,0), $G$4:$N$4) / SUM($G$4:$N$4)</f>
        <v>3</v>
      </c>
      <c r="P60" s="1" t="s">
        <v>16</v>
      </c>
      <c r="Q60" s="1" t="s">
        <v>17</v>
      </c>
      <c r="R60" s="1" t="s">
        <v>14</v>
      </c>
      <c r="S60" s="1" t="s">
        <v>17</v>
      </c>
      <c r="T60" s="1" t="s">
        <v>15</v>
      </c>
      <c r="U60" s="15" cm="1">
        <f t="array" ref="U60">SUMPRODUCT(_xlfn.XLOOKUP(P60:T60, $X$2:$X$6, $Y$2:$Y$6, 0), $P$4:$T$4) / SUM($P$4:$T$4)</f>
        <v>2.9333333333333331</v>
      </c>
    </row>
    <row r="61" spans="1:21">
      <c r="A61" s="1">
        <v>1100983023</v>
      </c>
      <c r="B61" s="1" t="s">
        <v>136</v>
      </c>
      <c r="C61" s="1" t="s">
        <v>137</v>
      </c>
      <c r="D61" s="15" cm="1">
        <f t="array" ref="D61">(SUMPRODUCT(_xlfn.XLOOKUP(TRIM(G61:N61), $X$2:$X$6, $Y$2:$Y$6, 0), $G$4:$N$4) + SUMPRODUCT(_xlfn.XLOOKUP(TRIM(P61:T61), $X$2:$X$6, $Y$2:$Y$6, 0), $P$4:$T$4)) / SUM($G$4:$N$4, $P$4:$T$4)</f>
        <v>3.2432432432432434</v>
      </c>
      <c r="E61" s="1" t="s">
        <v>301</v>
      </c>
      <c r="G61" s="16" t="s">
        <v>16</v>
      </c>
      <c r="H61" s="16" t="s">
        <v>15</v>
      </c>
      <c r="I61" s="16" t="s">
        <v>14</v>
      </c>
      <c r="J61" s="16" t="s">
        <v>15</v>
      </c>
      <c r="K61" s="16" t="s">
        <v>14</v>
      </c>
      <c r="L61" s="16" t="s">
        <v>15</v>
      </c>
      <c r="M61" s="16" t="s">
        <v>17</v>
      </c>
      <c r="N61" s="16" t="s">
        <v>15</v>
      </c>
      <c r="O61" s="15" cm="1">
        <f t="array" ref="O61">SUMPRODUCT(_xlfn.XLOOKUP(G61:N61, $X$2:$X$6, $Y$2:$Y$6,0), $G$4:$N$4) / SUM($G$4:$N$4)</f>
        <v>3.4545454545454546</v>
      </c>
      <c r="P61" s="1" t="s">
        <v>17</v>
      </c>
      <c r="Q61" s="1" t="s">
        <v>16</v>
      </c>
      <c r="R61" s="1" t="s">
        <v>15</v>
      </c>
      <c r="S61" s="1" t="s">
        <v>16</v>
      </c>
      <c r="T61" s="1" t="s">
        <v>16</v>
      </c>
      <c r="U61" s="15" cm="1">
        <f t="array" ref="U61">SUMPRODUCT(_xlfn.XLOOKUP(P61:T61, $X$2:$X$6, $Y$2:$Y$6, 0), $P$4:$T$4) / SUM($P$4:$T$4)</f>
        <v>2.9333333333333331</v>
      </c>
    </row>
    <row r="62" spans="1:21">
      <c r="A62" s="1">
        <v>2100241023</v>
      </c>
      <c r="B62" s="1" t="s">
        <v>138</v>
      </c>
      <c r="C62" s="1" t="s">
        <v>139</v>
      </c>
      <c r="D62" s="15" cm="1">
        <f t="array" ref="D62">(SUMPRODUCT(_xlfn.XLOOKUP(TRIM(G62:N62), $X$2:$X$6, $Y$2:$Y$6, 0), $G$4:$N$4) + SUMPRODUCT(_xlfn.XLOOKUP(TRIM(P62:T62), $X$2:$X$6, $Y$2:$Y$6, 0), $P$4:$T$4)) / SUM($G$4:$N$4, $P$4:$T$4)</f>
        <v>3.4054054054054053</v>
      </c>
      <c r="E62" s="1" t="s">
        <v>301</v>
      </c>
      <c r="G62" s="16" t="s">
        <v>17</v>
      </c>
      <c r="H62" s="16" t="s">
        <v>15</v>
      </c>
      <c r="I62" s="16" t="s">
        <v>14</v>
      </c>
      <c r="J62" s="16" t="s">
        <v>15</v>
      </c>
      <c r="K62" s="16" t="s">
        <v>14</v>
      </c>
      <c r="L62" s="16" t="s">
        <v>16</v>
      </c>
      <c r="M62" s="16" t="s">
        <v>15</v>
      </c>
      <c r="N62" s="16" t="s">
        <v>15</v>
      </c>
      <c r="O62" s="15" cm="1">
        <f t="array" ref="O62">SUMPRODUCT(_xlfn.XLOOKUP(G62:N62, $X$2:$X$6, $Y$2:$Y$6,0), $G$4:$N$4) / SUM($G$4:$N$4)</f>
        <v>3.4545454545454546</v>
      </c>
      <c r="P62" s="1" t="s">
        <v>14</v>
      </c>
      <c r="Q62" s="1" t="s">
        <v>16</v>
      </c>
      <c r="R62" s="1" t="s">
        <v>16</v>
      </c>
      <c r="S62" s="1" t="s">
        <v>14</v>
      </c>
      <c r="T62" s="1" t="s">
        <v>17</v>
      </c>
      <c r="U62" s="15" cm="1">
        <f t="array" ref="U62">SUMPRODUCT(_xlfn.XLOOKUP(P62:T62, $X$2:$X$6, $Y$2:$Y$6, 0), $P$4:$T$4) / SUM($P$4:$T$4)</f>
        <v>3.3333333333333335</v>
      </c>
    </row>
    <row r="63" spans="1:21">
      <c r="A63" s="1">
        <v>1100800223</v>
      </c>
      <c r="B63" s="1" t="s">
        <v>140</v>
      </c>
      <c r="C63" s="1" t="s">
        <v>141</v>
      </c>
      <c r="D63" s="15" cm="1">
        <f t="array" ref="D63">(SUMPRODUCT(_xlfn.XLOOKUP(TRIM(G63:N63), $X$2:$X$6, $Y$2:$Y$6, 0), $G$4:$N$4) + SUMPRODUCT(_xlfn.XLOOKUP(TRIM(P63:T63), $X$2:$X$6, $Y$2:$Y$6, 0), $P$4:$T$4)) / SUM($G$4:$N$4, $P$4:$T$4)</f>
        <v>3.4189189189189189</v>
      </c>
      <c r="E63" s="1" t="s">
        <v>301</v>
      </c>
      <c r="G63" s="16" t="s">
        <v>14</v>
      </c>
      <c r="H63" s="16" t="s">
        <v>14</v>
      </c>
      <c r="I63" s="16" t="s">
        <v>15</v>
      </c>
      <c r="J63" s="16" t="s">
        <v>16</v>
      </c>
      <c r="K63" s="16" t="s">
        <v>16</v>
      </c>
      <c r="L63" s="16" t="s">
        <v>14</v>
      </c>
      <c r="M63" s="16" t="s">
        <v>16</v>
      </c>
      <c r="N63" s="16" t="s">
        <v>14</v>
      </c>
      <c r="O63" s="15" cm="1">
        <f t="array" ref="O63">SUMPRODUCT(_xlfn.XLOOKUP(G63:N63, $X$2:$X$6, $Y$2:$Y$6,0), $G$4:$N$4) / SUM($G$4:$N$4)</f>
        <v>3.5454545454545454</v>
      </c>
      <c r="P63" s="1" t="s">
        <v>15</v>
      </c>
      <c r="Q63" s="1" t="s">
        <v>16</v>
      </c>
      <c r="R63" s="1" t="s">
        <v>16</v>
      </c>
      <c r="S63" s="1" t="s">
        <v>15</v>
      </c>
      <c r="T63" s="1" t="s">
        <v>16</v>
      </c>
      <c r="U63" s="15" cm="1">
        <f t="array" ref="U63">SUMPRODUCT(_xlfn.XLOOKUP(P63:T63, $X$2:$X$6, $Y$2:$Y$6, 0), $P$4:$T$4) / SUM($P$4:$T$4)</f>
        <v>3.2333333333333334</v>
      </c>
    </row>
    <row r="64" spans="1:21">
      <c r="A64" s="1">
        <v>1101670323</v>
      </c>
      <c r="B64" s="1" t="s">
        <v>142</v>
      </c>
      <c r="C64" s="1" t="s">
        <v>143</v>
      </c>
      <c r="D64" s="15" cm="1">
        <f t="array" ref="D64">(SUMPRODUCT(_xlfn.XLOOKUP(TRIM(G64:N64), $X$2:$X$6, $Y$2:$Y$6, 0), $G$4:$N$4) + SUMPRODUCT(_xlfn.XLOOKUP(TRIM(P64:T64), $X$2:$X$6, $Y$2:$Y$6, 0), $P$4:$T$4)) / SUM($G$4:$N$4, $P$4:$T$4)</f>
        <v>3</v>
      </c>
      <c r="E64" s="1" t="s">
        <v>301</v>
      </c>
      <c r="G64" s="16" t="s">
        <v>15</v>
      </c>
      <c r="H64" s="16" t="s">
        <v>16</v>
      </c>
      <c r="I64" s="16" t="s">
        <v>17</v>
      </c>
      <c r="J64" s="16" t="s">
        <v>15</v>
      </c>
      <c r="K64" s="16" t="s">
        <v>17</v>
      </c>
      <c r="L64" s="16" t="s">
        <v>14</v>
      </c>
      <c r="M64" s="16" t="s">
        <v>14</v>
      </c>
      <c r="N64" s="16" t="s">
        <v>16</v>
      </c>
      <c r="O64" s="15" cm="1">
        <f t="array" ref="O64">SUMPRODUCT(_xlfn.XLOOKUP(G64:N64, $X$2:$X$6, $Y$2:$Y$6,0), $G$4:$N$4) / SUM($G$4:$N$4)</f>
        <v>3.0454545454545454</v>
      </c>
      <c r="P64" s="1" t="s">
        <v>17</v>
      </c>
      <c r="Q64" s="1" t="s">
        <v>17</v>
      </c>
      <c r="R64" s="1" t="s">
        <v>14</v>
      </c>
      <c r="S64" s="1" t="s">
        <v>15</v>
      </c>
      <c r="T64" s="1" t="s">
        <v>17</v>
      </c>
      <c r="U64" s="15" cm="1">
        <f t="array" ref="U64">SUMPRODUCT(_xlfn.XLOOKUP(P64:T64, $X$2:$X$6, $Y$2:$Y$6, 0), $P$4:$T$4) / SUM($P$4:$T$4)</f>
        <v>2.9333333333333331</v>
      </c>
    </row>
    <row r="65" spans="1:21">
      <c r="A65" s="1">
        <v>1103793423</v>
      </c>
      <c r="B65" s="1" t="s">
        <v>144</v>
      </c>
      <c r="C65" s="1" t="s">
        <v>145</v>
      </c>
      <c r="D65" s="15" cm="1">
        <f t="array" ref="D65">(SUMPRODUCT(_xlfn.XLOOKUP(TRIM(G65:N65), $X$2:$X$6, $Y$2:$Y$6, 0), $G$4:$N$4) + SUMPRODUCT(_xlfn.XLOOKUP(TRIM(P65:T65), $X$2:$X$6, $Y$2:$Y$6, 0), $P$4:$T$4)) / SUM($G$4:$N$4, $P$4:$T$4)</f>
        <v>3.4189189189189189</v>
      </c>
      <c r="E65" s="1" t="s">
        <v>301</v>
      </c>
      <c r="G65" s="16" t="s">
        <v>15</v>
      </c>
      <c r="H65" s="16" t="s">
        <v>15</v>
      </c>
      <c r="I65" s="16" t="s">
        <v>14</v>
      </c>
      <c r="J65" s="16" t="s">
        <v>15</v>
      </c>
      <c r="K65" s="16" t="s">
        <v>16</v>
      </c>
      <c r="L65" s="16" t="s">
        <v>17</v>
      </c>
      <c r="M65" s="16" t="s">
        <v>16</v>
      </c>
      <c r="N65" s="16" t="s">
        <v>16</v>
      </c>
      <c r="O65" s="15" cm="1">
        <f t="array" ref="O65">SUMPRODUCT(_xlfn.XLOOKUP(G65:N65, $X$2:$X$6, $Y$2:$Y$6,0), $G$4:$N$4) / SUM($G$4:$N$4)</f>
        <v>3.3181818181818183</v>
      </c>
      <c r="P65" s="1" t="s">
        <v>15</v>
      </c>
      <c r="Q65" s="1" t="s">
        <v>14</v>
      </c>
      <c r="R65" s="1" t="s">
        <v>16</v>
      </c>
      <c r="S65" s="1" t="s">
        <v>14</v>
      </c>
      <c r="T65" s="1" t="s">
        <v>15</v>
      </c>
      <c r="U65" s="15" cm="1">
        <f t="array" ref="U65">SUMPRODUCT(_xlfn.XLOOKUP(P65:T65, $X$2:$X$6, $Y$2:$Y$6, 0), $P$4:$T$4) / SUM($P$4:$T$4)</f>
        <v>3.5666666666666669</v>
      </c>
    </row>
    <row r="66" spans="1:21">
      <c r="A66" s="1">
        <v>2101195923</v>
      </c>
      <c r="B66" s="1" t="s">
        <v>146</v>
      </c>
      <c r="C66" s="1" t="s">
        <v>147</v>
      </c>
      <c r="D66" s="15" cm="1">
        <f t="array" ref="D66">(SUMPRODUCT(_xlfn.XLOOKUP(TRIM(G66:N66), $X$2:$X$6, $Y$2:$Y$6, 0), $G$4:$N$4) + SUMPRODUCT(_xlfn.XLOOKUP(TRIM(P66:T66), $X$2:$X$6, $Y$2:$Y$6, 0), $P$4:$T$4)) / SUM($G$4:$N$4, $P$4:$T$4)</f>
        <v>3.3513513513513513</v>
      </c>
      <c r="E66" s="1" t="s">
        <v>301</v>
      </c>
      <c r="G66" s="16" t="s">
        <v>17</v>
      </c>
      <c r="H66" s="16" t="s">
        <v>14</v>
      </c>
      <c r="I66" s="16" t="s">
        <v>14</v>
      </c>
      <c r="J66" s="16" t="s">
        <v>17</v>
      </c>
      <c r="K66" s="16" t="s">
        <v>15</v>
      </c>
      <c r="L66" s="16" t="s">
        <v>14</v>
      </c>
      <c r="M66" s="16" t="s">
        <v>16</v>
      </c>
      <c r="N66" s="16" t="s">
        <v>14</v>
      </c>
      <c r="O66" s="15" cm="1">
        <f t="array" ref="O66">SUMPRODUCT(_xlfn.XLOOKUP(G66:N66, $X$2:$X$6, $Y$2:$Y$6,0), $G$4:$N$4) / SUM($G$4:$N$4)</f>
        <v>3.3181818181818183</v>
      </c>
      <c r="P66" s="1" t="s">
        <v>16</v>
      </c>
      <c r="Q66" s="1" t="s">
        <v>16</v>
      </c>
      <c r="R66" s="1" t="s">
        <v>16</v>
      </c>
      <c r="S66" s="1" t="s">
        <v>14</v>
      </c>
      <c r="T66" s="1" t="s">
        <v>14</v>
      </c>
      <c r="U66" s="15" cm="1">
        <f t="array" ref="U66">SUMPRODUCT(_xlfn.XLOOKUP(P66:T66, $X$2:$X$6, $Y$2:$Y$6, 0), $P$4:$T$4) / SUM($P$4:$T$4)</f>
        <v>3.4</v>
      </c>
    </row>
    <row r="67" spans="1:21">
      <c r="A67" s="1">
        <v>2100593423</v>
      </c>
      <c r="B67" s="1" t="s">
        <v>148</v>
      </c>
      <c r="C67" s="1" t="s">
        <v>149</v>
      </c>
      <c r="D67" s="15" cm="1">
        <f t="array" ref="D67">(SUMPRODUCT(_xlfn.XLOOKUP(TRIM(G67:N67), $X$2:$X$6, $Y$2:$Y$6, 0), $G$4:$N$4) + SUMPRODUCT(_xlfn.XLOOKUP(TRIM(P67:T67), $X$2:$X$6, $Y$2:$Y$6, 0), $P$4:$T$4)) / SUM($G$4:$N$4, $P$4:$T$4)</f>
        <v>3.1756756756756759</v>
      </c>
      <c r="E67" s="1" t="s">
        <v>301</v>
      </c>
      <c r="G67" s="16" t="s">
        <v>16</v>
      </c>
      <c r="H67" s="16" t="s">
        <v>17</v>
      </c>
      <c r="I67" s="16" t="s">
        <v>14</v>
      </c>
      <c r="J67" s="16" t="s">
        <v>14</v>
      </c>
      <c r="K67" s="16" t="s">
        <v>14</v>
      </c>
      <c r="L67" s="16" t="s">
        <v>14</v>
      </c>
      <c r="M67" s="16" t="s">
        <v>16</v>
      </c>
      <c r="N67" s="16" t="s">
        <v>17</v>
      </c>
      <c r="O67" s="15" cm="1">
        <f t="array" ref="O67">SUMPRODUCT(_xlfn.XLOOKUP(G67:N67, $X$2:$X$6, $Y$2:$Y$6,0), $G$4:$N$4) / SUM($G$4:$N$4)</f>
        <v>3.2727272727272729</v>
      </c>
      <c r="P67" s="1" t="s">
        <v>15</v>
      </c>
      <c r="Q67" s="1" t="s">
        <v>15</v>
      </c>
      <c r="R67" s="1" t="s">
        <v>15</v>
      </c>
      <c r="S67" s="1" t="s">
        <v>17</v>
      </c>
      <c r="T67" s="1" t="s">
        <v>16</v>
      </c>
      <c r="U67" s="15" cm="1">
        <f t="array" ref="U67">SUMPRODUCT(_xlfn.XLOOKUP(P67:T67, $X$2:$X$6, $Y$2:$Y$6, 0), $P$4:$T$4) / SUM($P$4:$T$4)</f>
        <v>3.0333333333333332</v>
      </c>
    </row>
    <row r="68" spans="1:21">
      <c r="A68" s="1">
        <v>1100064323</v>
      </c>
      <c r="B68" s="1" t="s">
        <v>150</v>
      </c>
      <c r="C68" s="1" t="s">
        <v>151</v>
      </c>
      <c r="D68" s="15" cm="1">
        <f t="array" ref="D68">(SUMPRODUCT(_xlfn.XLOOKUP(TRIM(G68:N68), $X$2:$X$6, $Y$2:$Y$6, 0), $G$4:$N$4) + SUMPRODUCT(_xlfn.XLOOKUP(TRIM(P68:T68), $X$2:$X$6, $Y$2:$Y$6, 0), $P$4:$T$4)) / SUM($G$4:$N$4, $P$4:$T$4)</f>
        <v>2.7837837837837838</v>
      </c>
      <c r="E68" s="1" t="s">
        <v>301</v>
      </c>
      <c r="G68" s="16" t="s">
        <v>14</v>
      </c>
      <c r="H68" s="16" t="s">
        <v>15</v>
      </c>
      <c r="I68" s="16" t="s">
        <v>17</v>
      </c>
      <c r="J68" s="16" t="s">
        <v>15</v>
      </c>
      <c r="K68" s="16" t="s">
        <v>17</v>
      </c>
      <c r="L68" s="16" t="s">
        <v>16</v>
      </c>
      <c r="M68" s="16" t="s">
        <v>14</v>
      </c>
      <c r="N68" s="16" t="s">
        <v>15</v>
      </c>
      <c r="O68" s="15" cm="1">
        <f t="array" ref="O68">SUMPRODUCT(_xlfn.XLOOKUP(G68:N68, $X$2:$X$6, $Y$2:$Y$6,0), $G$4:$N$4) / SUM($G$4:$N$4)</f>
        <v>3.1363636363636362</v>
      </c>
      <c r="P68" s="1" t="s">
        <v>17</v>
      </c>
      <c r="Q68" s="1" t="s">
        <v>17</v>
      </c>
      <c r="R68" s="1" t="s">
        <v>17</v>
      </c>
      <c r="S68" s="1" t="s">
        <v>16</v>
      </c>
      <c r="T68" s="1" t="s">
        <v>17</v>
      </c>
      <c r="U68" s="15" cm="1">
        <f t="array" ref="U68">SUMPRODUCT(_xlfn.XLOOKUP(P68:T68, $X$2:$X$6, $Y$2:$Y$6, 0), $P$4:$T$4) / SUM($P$4:$T$4)</f>
        <v>2.2666666666666666</v>
      </c>
    </row>
    <row r="69" spans="1:21">
      <c r="A69" s="1">
        <v>1105411023</v>
      </c>
      <c r="B69" s="1" t="s">
        <v>152</v>
      </c>
      <c r="C69" s="1" t="s">
        <v>153</v>
      </c>
      <c r="D69" s="15" cm="1">
        <f t="array" ref="D69">(SUMPRODUCT(_xlfn.XLOOKUP(TRIM(G69:N69), $X$2:$X$6, $Y$2:$Y$6, 0), $G$4:$N$4) + SUMPRODUCT(_xlfn.XLOOKUP(TRIM(P69:T69), $X$2:$X$6, $Y$2:$Y$6, 0), $P$4:$T$4)) / SUM($G$4:$N$4, $P$4:$T$4)</f>
        <v>3.5135135135135136</v>
      </c>
      <c r="E69" s="1" t="s">
        <v>301</v>
      </c>
      <c r="G69" s="16" t="s">
        <v>15</v>
      </c>
      <c r="H69" s="16" t="s">
        <v>14</v>
      </c>
      <c r="I69" s="16" t="s">
        <v>14</v>
      </c>
      <c r="J69" s="16" t="s">
        <v>17</v>
      </c>
      <c r="K69" s="16" t="s">
        <v>16</v>
      </c>
      <c r="L69" s="16" t="s">
        <v>14</v>
      </c>
      <c r="M69" s="16" t="s">
        <v>14</v>
      </c>
      <c r="N69" s="16" t="s">
        <v>15</v>
      </c>
      <c r="O69" s="15" cm="1">
        <f t="array" ref="O69">SUMPRODUCT(_xlfn.XLOOKUP(G69:N69, $X$2:$X$6, $Y$2:$Y$6,0), $G$4:$N$4) / SUM($G$4:$N$4)</f>
        <v>3.4545454545454546</v>
      </c>
      <c r="P69" s="1" t="s">
        <v>16</v>
      </c>
      <c r="Q69" s="1" t="s">
        <v>15</v>
      </c>
      <c r="R69" s="1" t="s">
        <v>14</v>
      </c>
      <c r="S69" s="1" t="s">
        <v>14</v>
      </c>
      <c r="T69" s="1" t="s">
        <v>16</v>
      </c>
      <c r="U69" s="15" cm="1">
        <f t="array" ref="U69">SUMPRODUCT(_xlfn.XLOOKUP(P69:T69, $X$2:$X$6, $Y$2:$Y$6, 0), $P$4:$T$4) / SUM($P$4:$T$4)</f>
        <v>3.6</v>
      </c>
    </row>
    <row r="70" spans="1:21">
      <c r="A70" s="1">
        <v>2100570823</v>
      </c>
      <c r="B70" s="1" t="s">
        <v>154</v>
      </c>
      <c r="C70" s="1" t="s">
        <v>155</v>
      </c>
      <c r="D70" s="15" cm="1">
        <f t="array" ref="D70">(SUMPRODUCT(_xlfn.XLOOKUP(TRIM(G70:N70), $X$2:$X$6, $Y$2:$Y$6, 0), $G$4:$N$4) + SUMPRODUCT(_xlfn.XLOOKUP(TRIM(P70:T70), $X$2:$X$6, $Y$2:$Y$6, 0), $P$4:$T$4)) / SUM($G$4:$N$4, $P$4:$T$4)</f>
        <v>3.0810810810810811</v>
      </c>
      <c r="E70" s="1" t="s">
        <v>301</v>
      </c>
      <c r="G70" s="16" t="s">
        <v>16</v>
      </c>
      <c r="H70" s="16" t="s">
        <v>15</v>
      </c>
      <c r="I70" s="16" t="s">
        <v>15</v>
      </c>
      <c r="J70" s="16" t="s">
        <v>16</v>
      </c>
      <c r="K70" s="16" t="s">
        <v>16</v>
      </c>
      <c r="L70" s="16" t="s">
        <v>15</v>
      </c>
      <c r="M70" s="16" t="s">
        <v>16</v>
      </c>
      <c r="N70" s="16" t="s">
        <v>17</v>
      </c>
      <c r="O70" s="15" cm="1">
        <f t="array" ref="O70">SUMPRODUCT(_xlfn.XLOOKUP(G70:N70, $X$2:$X$6, $Y$2:$Y$6,0), $G$4:$N$4) / SUM($G$4:$N$4)</f>
        <v>3.1363636363636362</v>
      </c>
      <c r="P70" s="1" t="s">
        <v>16</v>
      </c>
      <c r="Q70" s="1" t="s">
        <v>15</v>
      </c>
      <c r="R70" s="1" t="s">
        <v>15</v>
      </c>
      <c r="S70" s="1" t="s">
        <v>17</v>
      </c>
      <c r="T70" s="1" t="s">
        <v>15</v>
      </c>
      <c r="U70" s="15" cm="1">
        <f t="array" ref="U70">SUMPRODUCT(_xlfn.XLOOKUP(P70:T70, $X$2:$X$6, $Y$2:$Y$6, 0), $P$4:$T$4) / SUM($P$4:$T$4)</f>
        <v>3</v>
      </c>
    </row>
    <row r="71" spans="1:21">
      <c r="A71" s="1">
        <v>1104678323</v>
      </c>
      <c r="B71" s="1" t="s">
        <v>156</v>
      </c>
      <c r="C71" s="1" t="s">
        <v>157</v>
      </c>
      <c r="D71" s="15" cm="1">
        <f t="array" ref="D71">(SUMPRODUCT(_xlfn.XLOOKUP(TRIM(G71:N71), $X$2:$X$6, $Y$2:$Y$6, 0), $G$4:$N$4) + SUMPRODUCT(_xlfn.XLOOKUP(TRIM(P71:T71), $X$2:$X$6, $Y$2:$Y$6, 0), $P$4:$T$4)) / SUM($G$4:$N$4, $P$4:$T$4)</f>
        <v>3.5270270270270272</v>
      </c>
      <c r="E71" s="1" t="s">
        <v>301</v>
      </c>
      <c r="G71" s="16" t="s">
        <v>14</v>
      </c>
      <c r="H71" s="16" t="s">
        <v>14</v>
      </c>
      <c r="I71" s="16" t="s">
        <v>14</v>
      </c>
      <c r="J71" s="16" t="s">
        <v>16</v>
      </c>
      <c r="K71" s="16" t="s">
        <v>14</v>
      </c>
      <c r="L71" s="16" t="s">
        <v>16</v>
      </c>
      <c r="M71" s="16" t="s">
        <v>15</v>
      </c>
      <c r="N71" s="16" t="s">
        <v>17</v>
      </c>
      <c r="O71" s="15" cm="1">
        <f t="array" ref="O71">SUMPRODUCT(_xlfn.XLOOKUP(G71:N71, $X$2:$X$6, $Y$2:$Y$6,0), $G$4:$N$4) / SUM($G$4:$N$4)</f>
        <v>3.5</v>
      </c>
      <c r="P71" s="1" t="s">
        <v>15</v>
      </c>
      <c r="Q71" s="1" t="s">
        <v>15</v>
      </c>
      <c r="R71" s="1" t="s">
        <v>14</v>
      </c>
      <c r="S71" s="1" t="s">
        <v>16</v>
      </c>
      <c r="T71" s="1" t="s">
        <v>14</v>
      </c>
      <c r="U71" s="15" cm="1">
        <f t="array" ref="U71">SUMPRODUCT(_xlfn.XLOOKUP(P71:T71, $X$2:$X$6, $Y$2:$Y$6, 0), $P$4:$T$4) / SUM($P$4:$T$4)</f>
        <v>3.5666666666666669</v>
      </c>
    </row>
    <row r="72" spans="1:21">
      <c r="A72" s="1">
        <v>1100998423</v>
      </c>
      <c r="B72" s="1" t="s">
        <v>158</v>
      </c>
      <c r="C72" s="1" t="s">
        <v>159</v>
      </c>
      <c r="D72" s="15" cm="1">
        <f t="array" ref="D72">(SUMPRODUCT(_xlfn.XLOOKUP(TRIM(G72:N72), $X$2:$X$6, $Y$2:$Y$6, 0), $G$4:$N$4) + SUMPRODUCT(_xlfn.XLOOKUP(TRIM(P72:T72), $X$2:$X$6, $Y$2:$Y$6, 0), $P$4:$T$4)) / SUM($G$4:$N$4, $P$4:$T$4)</f>
        <v>3.1081081081081079</v>
      </c>
      <c r="E72" s="1" t="s">
        <v>301</v>
      </c>
      <c r="G72" s="16" t="s">
        <v>15</v>
      </c>
      <c r="H72" s="16" t="s">
        <v>16</v>
      </c>
      <c r="I72" s="16" t="s">
        <v>16</v>
      </c>
      <c r="J72" s="16" t="s">
        <v>17</v>
      </c>
      <c r="K72" s="16" t="s">
        <v>15</v>
      </c>
      <c r="L72" s="16" t="s">
        <v>15</v>
      </c>
      <c r="M72" s="16" t="s">
        <v>17</v>
      </c>
      <c r="N72" s="16" t="s">
        <v>17</v>
      </c>
      <c r="O72" s="15" cm="1">
        <f t="array" ref="O72">SUMPRODUCT(_xlfn.XLOOKUP(G72:N72, $X$2:$X$6, $Y$2:$Y$6,0), $G$4:$N$4) / SUM($G$4:$N$4)</f>
        <v>2.7727272727272729</v>
      </c>
      <c r="P72" s="1" t="s">
        <v>16</v>
      </c>
      <c r="Q72" s="1" t="s">
        <v>15</v>
      </c>
      <c r="R72" s="1" t="s">
        <v>14</v>
      </c>
      <c r="S72" s="1" t="s">
        <v>14</v>
      </c>
      <c r="T72" s="1" t="s">
        <v>16</v>
      </c>
      <c r="U72" s="15" cm="1">
        <f t="array" ref="U72">SUMPRODUCT(_xlfn.XLOOKUP(P72:T72, $X$2:$X$6, $Y$2:$Y$6, 0), $P$4:$T$4) / SUM($P$4:$T$4)</f>
        <v>3.6</v>
      </c>
    </row>
    <row r="73" spans="1:21">
      <c r="A73" s="1">
        <v>1102609323</v>
      </c>
      <c r="B73" s="1" t="s">
        <v>160</v>
      </c>
      <c r="C73" s="1" t="s">
        <v>161</v>
      </c>
      <c r="D73" s="15" cm="1">
        <f t="array" ref="D73">(SUMPRODUCT(_xlfn.XLOOKUP(TRIM(G73:N73), $X$2:$X$6, $Y$2:$Y$6, 0), $G$4:$N$4) + SUMPRODUCT(_xlfn.XLOOKUP(TRIM(P73:T73), $X$2:$X$6, $Y$2:$Y$6, 0), $P$4:$T$4)) / SUM($G$4:$N$4, $P$4:$T$4)</f>
        <v>3.1486486486486487</v>
      </c>
      <c r="E73" s="1" t="s">
        <v>301</v>
      </c>
      <c r="G73" s="16" t="s">
        <v>16</v>
      </c>
      <c r="H73" s="16" t="s">
        <v>17</v>
      </c>
      <c r="I73" s="16" t="s">
        <v>16</v>
      </c>
      <c r="J73" s="16" t="s">
        <v>16</v>
      </c>
      <c r="K73" s="16" t="s">
        <v>15</v>
      </c>
      <c r="L73" s="16" t="s">
        <v>16</v>
      </c>
      <c r="M73" s="16" t="s">
        <v>16</v>
      </c>
      <c r="N73" s="16" t="s">
        <v>14</v>
      </c>
      <c r="O73" s="15" cm="1">
        <f t="array" ref="O73">SUMPRODUCT(_xlfn.XLOOKUP(G73:N73, $X$2:$X$6, $Y$2:$Y$6,0), $G$4:$N$4) / SUM($G$4:$N$4)</f>
        <v>2.9545454545454546</v>
      </c>
      <c r="P73" s="1" t="s">
        <v>15</v>
      </c>
      <c r="Q73" s="1" t="s">
        <v>15</v>
      </c>
      <c r="R73" s="1" t="s">
        <v>15</v>
      </c>
      <c r="S73" s="1" t="s">
        <v>16</v>
      </c>
      <c r="T73" s="1" t="s">
        <v>14</v>
      </c>
      <c r="U73" s="15" cm="1">
        <f t="array" ref="U73">SUMPRODUCT(_xlfn.XLOOKUP(P73:T73, $X$2:$X$6, $Y$2:$Y$6, 0), $P$4:$T$4) / SUM($P$4:$T$4)</f>
        <v>3.4333333333333331</v>
      </c>
    </row>
    <row r="74" spans="1:21">
      <c r="A74" s="1">
        <v>1102591323</v>
      </c>
      <c r="B74" s="1" t="s">
        <v>162</v>
      </c>
      <c r="C74" s="1" t="s">
        <v>163</v>
      </c>
      <c r="D74" s="15" cm="1">
        <f t="array" ref="D74">(SUMPRODUCT(_xlfn.XLOOKUP(TRIM(G74:N74), $X$2:$X$6, $Y$2:$Y$6, 0), $G$4:$N$4) + SUMPRODUCT(_xlfn.XLOOKUP(TRIM(P74:T74), $X$2:$X$6, $Y$2:$Y$6, 0), $P$4:$T$4)) / SUM($G$4:$N$4, $P$4:$T$4)</f>
        <v>3.3513513513513513</v>
      </c>
      <c r="E74" s="1" t="s">
        <v>301</v>
      </c>
      <c r="G74" s="16" t="s">
        <v>16</v>
      </c>
      <c r="H74" s="16" t="s">
        <v>16</v>
      </c>
      <c r="I74" s="16" t="s">
        <v>15</v>
      </c>
      <c r="J74" s="16" t="s">
        <v>14</v>
      </c>
      <c r="K74" s="16" t="s">
        <v>17</v>
      </c>
      <c r="L74" s="16" t="s">
        <v>15</v>
      </c>
      <c r="M74" s="16" t="s">
        <v>16</v>
      </c>
      <c r="N74" s="16" t="s">
        <v>15</v>
      </c>
      <c r="O74" s="15" cm="1">
        <f t="array" ref="O74">SUMPRODUCT(_xlfn.XLOOKUP(G74:N74, $X$2:$X$6, $Y$2:$Y$6,0), $G$4:$N$4) / SUM($G$4:$N$4)</f>
        <v>3.2727272727272729</v>
      </c>
      <c r="P74" s="1" t="s">
        <v>16</v>
      </c>
      <c r="Q74" s="1" t="s">
        <v>14</v>
      </c>
      <c r="R74" s="1" t="s">
        <v>16</v>
      </c>
      <c r="S74" s="1" t="s">
        <v>14</v>
      </c>
      <c r="T74" s="1" t="s">
        <v>15</v>
      </c>
      <c r="U74" s="15" cm="1">
        <f t="array" ref="U74">SUMPRODUCT(_xlfn.XLOOKUP(P74:T74, $X$2:$X$6, $Y$2:$Y$6, 0), $P$4:$T$4) / SUM($P$4:$T$4)</f>
        <v>3.4666666666666668</v>
      </c>
    </row>
    <row r="75" spans="1:21">
      <c r="A75" s="1">
        <v>2100354623</v>
      </c>
      <c r="B75" s="1" t="s">
        <v>165</v>
      </c>
      <c r="C75" s="1" t="s">
        <v>166</v>
      </c>
      <c r="D75" s="15" cm="1">
        <f t="array" ref="D75">(SUMPRODUCT(_xlfn.XLOOKUP(TRIM(G75:N75), $X$2:$X$6, $Y$2:$Y$6, 0), $G$4:$N$4) + SUMPRODUCT(_xlfn.XLOOKUP(TRIM(P75:T75), $X$2:$X$6, $Y$2:$Y$6, 0), $P$4:$T$4)) / SUM($G$4:$N$4, $P$4:$T$4)</f>
        <v>3.1756756756756759</v>
      </c>
      <c r="E75" s="1" t="s">
        <v>301</v>
      </c>
      <c r="G75" s="16" t="s">
        <v>15</v>
      </c>
      <c r="H75" s="16" t="s">
        <v>14</v>
      </c>
      <c r="I75" s="16" t="s">
        <v>17</v>
      </c>
      <c r="J75" s="16" t="s">
        <v>17</v>
      </c>
      <c r="K75" s="16" t="s">
        <v>15</v>
      </c>
      <c r="L75" s="16" t="s">
        <v>14</v>
      </c>
      <c r="M75" s="16" t="s">
        <v>15</v>
      </c>
      <c r="N75" s="16" t="s">
        <v>17</v>
      </c>
      <c r="O75" s="15" cm="1">
        <f t="array" ref="O75">SUMPRODUCT(_xlfn.XLOOKUP(G75:N75, $X$2:$X$6, $Y$2:$Y$6,0), $G$4:$N$4) / SUM($G$4:$N$4)</f>
        <v>2.9545454545454546</v>
      </c>
      <c r="P75" s="1" t="s">
        <v>15</v>
      </c>
      <c r="Q75" s="1" t="s">
        <v>16</v>
      </c>
      <c r="R75" s="1" t="s">
        <v>16</v>
      </c>
      <c r="S75" s="1" t="s">
        <v>14</v>
      </c>
      <c r="T75" s="1" t="s">
        <v>14</v>
      </c>
      <c r="U75" s="15" cm="1">
        <f t="array" ref="U75">SUMPRODUCT(_xlfn.XLOOKUP(P75:T75, $X$2:$X$6, $Y$2:$Y$6, 0), $P$4:$T$4) / SUM($P$4:$T$4)</f>
        <v>3.5</v>
      </c>
    </row>
    <row r="76" spans="1:21">
      <c r="A76" s="1">
        <v>2200026023</v>
      </c>
      <c r="B76" s="1" t="s">
        <v>167</v>
      </c>
      <c r="C76" s="1" t="s">
        <v>168</v>
      </c>
      <c r="D76" s="15" cm="1">
        <f t="array" ref="D76">(SUMPRODUCT(_xlfn.XLOOKUP(TRIM(G76:N76), $X$2:$X$6, $Y$2:$Y$6, 0), $G$4:$N$4) + SUMPRODUCT(_xlfn.XLOOKUP(TRIM(P76:T76), $X$2:$X$6, $Y$2:$Y$6, 0), $P$4:$T$4)) / SUM($G$4:$N$4, $P$4:$T$4)</f>
        <v>3.1621621621621623</v>
      </c>
      <c r="E76" s="1" t="s">
        <v>301</v>
      </c>
      <c r="G76" s="16" t="s">
        <v>14</v>
      </c>
      <c r="H76" s="16" t="s">
        <v>15</v>
      </c>
      <c r="I76" s="16" t="s">
        <v>15</v>
      </c>
      <c r="J76" s="16" t="s">
        <v>17</v>
      </c>
      <c r="K76" s="16" t="s">
        <v>14</v>
      </c>
      <c r="L76" s="16" t="s">
        <v>16</v>
      </c>
      <c r="M76" s="16" t="s">
        <v>16</v>
      </c>
      <c r="N76" s="16" t="s">
        <v>14</v>
      </c>
      <c r="O76" s="15" cm="1">
        <f t="array" ref="O76">SUMPRODUCT(_xlfn.XLOOKUP(G76:N76, $X$2:$X$6, $Y$2:$Y$6,0), $G$4:$N$4) / SUM($G$4:$N$4)</f>
        <v>3.2727272727272729</v>
      </c>
      <c r="P76" s="1" t="s">
        <v>17</v>
      </c>
      <c r="Q76" s="1" t="s">
        <v>17</v>
      </c>
      <c r="R76" s="1" t="s">
        <v>15</v>
      </c>
      <c r="S76" s="1" t="s">
        <v>15</v>
      </c>
      <c r="T76" s="1" t="s">
        <v>15</v>
      </c>
      <c r="U76" s="15" cm="1">
        <f t="array" ref="U76">SUMPRODUCT(_xlfn.XLOOKUP(P76:T76, $X$2:$X$6, $Y$2:$Y$6, 0), $P$4:$T$4) / SUM($P$4:$T$4)</f>
        <v>3</v>
      </c>
    </row>
    <row r="77" spans="1:21">
      <c r="A77" s="1">
        <v>1102542523</v>
      </c>
      <c r="B77" s="1" t="s">
        <v>169</v>
      </c>
      <c r="C77" s="1" t="s">
        <v>170</v>
      </c>
      <c r="D77" s="15" cm="1">
        <f t="array" ref="D77">(SUMPRODUCT(_xlfn.XLOOKUP(TRIM(G77:N77), $X$2:$X$6, $Y$2:$Y$6, 0), $G$4:$N$4) + SUMPRODUCT(_xlfn.XLOOKUP(TRIM(P77:T77), $X$2:$X$6, $Y$2:$Y$6, 0), $P$4:$T$4)) / SUM($G$4:$N$4, $P$4:$T$4)</f>
        <v>2.9189189189189189</v>
      </c>
      <c r="E77" s="1" t="s">
        <v>301</v>
      </c>
      <c r="G77" s="16" t="s">
        <v>17</v>
      </c>
      <c r="H77" s="16" t="s">
        <v>16</v>
      </c>
      <c r="I77" s="16" t="s">
        <v>14</v>
      </c>
      <c r="J77" s="16" t="s">
        <v>16</v>
      </c>
      <c r="K77" s="16" t="s">
        <v>16</v>
      </c>
      <c r="L77" s="16" t="s">
        <v>16</v>
      </c>
      <c r="M77" s="16" t="s">
        <v>16</v>
      </c>
      <c r="N77" s="16" t="s">
        <v>14</v>
      </c>
      <c r="O77" s="15" cm="1">
        <f t="array" ref="O77">SUMPRODUCT(_xlfn.XLOOKUP(G77:N77, $X$2:$X$6, $Y$2:$Y$6,0), $G$4:$N$4) / SUM($G$4:$N$4)</f>
        <v>3.1818181818181817</v>
      </c>
      <c r="P77" s="1" t="s">
        <v>17</v>
      </c>
      <c r="Q77" s="1" t="s">
        <v>14</v>
      </c>
      <c r="R77" s="1" t="s">
        <v>17</v>
      </c>
      <c r="S77" s="1" t="s">
        <v>17</v>
      </c>
      <c r="T77" s="1" t="s">
        <v>14</v>
      </c>
      <c r="U77" s="15" cm="1">
        <f t="array" ref="U77">SUMPRODUCT(_xlfn.XLOOKUP(P77:T77, $X$2:$X$6, $Y$2:$Y$6, 0), $P$4:$T$4) / SUM($P$4:$T$4)</f>
        <v>2.5333333333333332</v>
      </c>
    </row>
    <row r="78" spans="1:21">
      <c r="A78" s="1">
        <v>2200060523</v>
      </c>
      <c r="B78" s="1" t="s">
        <v>171</v>
      </c>
      <c r="C78" s="1" t="s">
        <v>172</v>
      </c>
      <c r="D78" s="15" cm="1">
        <f t="array" ref="D78">(SUMPRODUCT(_xlfn.XLOOKUP(TRIM(G78:N78), $X$2:$X$6, $Y$2:$Y$6, 0), $G$4:$N$4) + SUMPRODUCT(_xlfn.XLOOKUP(TRIM(P78:T78), $X$2:$X$6, $Y$2:$Y$6, 0), $P$4:$T$4)) / SUM($G$4:$N$4, $P$4:$T$4)</f>
        <v>3.0270270270270272</v>
      </c>
      <c r="E78" s="1" t="s">
        <v>301</v>
      </c>
      <c r="G78" s="16" t="s">
        <v>17</v>
      </c>
      <c r="H78" s="16" t="s">
        <v>16</v>
      </c>
      <c r="I78" s="16" t="s">
        <v>14</v>
      </c>
      <c r="J78" s="16" t="s">
        <v>14</v>
      </c>
      <c r="K78" s="16" t="s">
        <v>15</v>
      </c>
      <c r="L78" s="16" t="s">
        <v>17</v>
      </c>
      <c r="M78" s="16" t="s">
        <v>17</v>
      </c>
      <c r="N78" s="16" t="s">
        <v>16</v>
      </c>
      <c r="O78" s="15" cm="1">
        <f t="array" ref="O78">SUMPRODUCT(_xlfn.XLOOKUP(G78:N78, $X$2:$X$6, $Y$2:$Y$6,0), $G$4:$N$4) / SUM($G$4:$N$4)</f>
        <v>3.1363636363636362</v>
      </c>
      <c r="P78" s="1" t="s">
        <v>17</v>
      </c>
      <c r="Q78" s="1" t="s">
        <v>15</v>
      </c>
      <c r="R78" s="1" t="s">
        <v>15</v>
      </c>
      <c r="S78" s="1" t="s">
        <v>16</v>
      </c>
      <c r="T78" s="1" t="s">
        <v>17</v>
      </c>
      <c r="U78" s="15" cm="1">
        <f t="array" ref="U78">SUMPRODUCT(_xlfn.XLOOKUP(P78:T78, $X$2:$X$6, $Y$2:$Y$6, 0), $P$4:$T$4) / SUM($P$4:$T$4)</f>
        <v>2.8666666666666667</v>
      </c>
    </row>
    <row r="79" spans="1:21">
      <c r="A79" s="1">
        <v>1100776923</v>
      </c>
      <c r="B79" s="1" t="s">
        <v>173</v>
      </c>
      <c r="C79" s="1" t="s">
        <v>174</v>
      </c>
      <c r="D79" s="15" cm="1">
        <f t="array" ref="D79">(SUMPRODUCT(_xlfn.XLOOKUP(TRIM(G79:N79), $X$2:$X$6, $Y$2:$Y$6, 0), $G$4:$N$4) + SUMPRODUCT(_xlfn.XLOOKUP(TRIM(P79:T79), $X$2:$X$6, $Y$2:$Y$6, 0), $P$4:$T$4)) / SUM($G$4:$N$4, $P$4:$T$4)</f>
        <v>3.3513513513513513</v>
      </c>
      <c r="E79" s="1" t="s">
        <v>301</v>
      </c>
      <c r="G79" s="16" t="s">
        <v>14</v>
      </c>
      <c r="H79" s="16" t="s">
        <v>17</v>
      </c>
      <c r="I79" s="16" t="s">
        <v>15</v>
      </c>
      <c r="J79" s="16" t="s">
        <v>14</v>
      </c>
      <c r="K79" s="16" t="s">
        <v>17</v>
      </c>
      <c r="L79" s="16" t="s">
        <v>14</v>
      </c>
      <c r="M79" s="16" t="s">
        <v>16</v>
      </c>
      <c r="N79" s="16" t="s">
        <v>15</v>
      </c>
      <c r="O79" s="15" cm="1">
        <f t="array" ref="O79">SUMPRODUCT(_xlfn.XLOOKUP(G79:N79, $X$2:$X$6, $Y$2:$Y$6,0), $G$4:$N$4) / SUM($G$4:$N$4)</f>
        <v>3.2272727272727271</v>
      </c>
      <c r="P79" s="1" t="s">
        <v>14</v>
      </c>
      <c r="Q79" s="1" t="s">
        <v>15</v>
      </c>
      <c r="R79" s="1" t="s">
        <v>14</v>
      </c>
      <c r="S79" s="1" t="s">
        <v>16</v>
      </c>
      <c r="T79" s="1" t="s">
        <v>16</v>
      </c>
      <c r="U79" s="15" cm="1">
        <f t="array" ref="U79">SUMPRODUCT(_xlfn.XLOOKUP(P79:T79, $X$2:$X$6, $Y$2:$Y$6, 0), $P$4:$T$4) / SUM($P$4:$T$4)</f>
        <v>3.5333333333333332</v>
      </c>
    </row>
    <row r="80" spans="1:21">
      <c r="A80" s="1">
        <v>1103150723</v>
      </c>
      <c r="B80" s="1" t="s">
        <v>175</v>
      </c>
      <c r="C80" s="1" t="s">
        <v>176</v>
      </c>
      <c r="D80" s="15" cm="1">
        <f t="array" ref="D80">(SUMPRODUCT(_xlfn.XLOOKUP(TRIM(G80:N80), $X$2:$X$6, $Y$2:$Y$6, 0), $G$4:$N$4) + SUMPRODUCT(_xlfn.XLOOKUP(TRIM(P80:T80), $X$2:$X$6, $Y$2:$Y$6, 0), $P$4:$T$4)) / SUM($G$4:$N$4, $P$4:$T$4)</f>
        <v>3.2162162162162162</v>
      </c>
      <c r="E80" s="1" t="s">
        <v>301</v>
      </c>
      <c r="G80" s="16" t="s">
        <v>14</v>
      </c>
      <c r="H80" s="16" t="s">
        <v>17</v>
      </c>
      <c r="I80" s="16" t="s">
        <v>15</v>
      </c>
      <c r="J80" s="16" t="s">
        <v>15</v>
      </c>
      <c r="K80" s="16" t="s">
        <v>14</v>
      </c>
      <c r="L80" s="16" t="s">
        <v>14</v>
      </c>
      <c r="M80" s="16" t="s">
        <v>15</v>
      </c>
      <c r="N80" s="16" t="s">
        <v>14</v>
      </c>
      <c r="O80" s="15" cm="1">
        <f t="array" ref="O80">SUMPRODUCT(_xlfn.XLOOKUP(G80:N80, $X$2:$X$6, $Y$2:$Y$6,0), $G$4:$N$4) / SUM($G$4:$N$4)</f>
        <v>3.4090909090909092</v>
      </c>
      <c r="P80" s="1" t="s">
        <v>16</v>
      </c>
      <c r="Q80" s="1" t="s">
        <v>15</v>
      </c>
      <c r="R80" s="1" t="s">
        <v>17</v>
      </c>
      <c r="S80" s="1" t="s">
        <v>15</v>
      </c>
      <c r="T80" s="1" t="s">
        <v>16</v>
      </c>
      <c r="U80" s="15" cm="1">
        <f t="array" ref="U80">SUMPRODUCT(_xlfn.XLOOKUP(P80:T80, $X$2:$X$6, $Y$2:$Y$6, 0), $P$4:$T$4) / SUM($P$4:$T$4)</f>
        <v>2.9333333333333331</v>
      </c>
    </row>
    <row r="81" spans="1:21">
      <c r="A81" s="1">
        <v>2100916523</v>
      </c>
      <c r="B81" s="1" t="s">
        <v>177</v>
      </c>
      <c r="C81" s="1" t="s">
        <v>178</v>
      </c>
      <c r="D81" s="15" cm="1">
        <f t="array" ref="D81">(SUMPRODUCT(_xlfn.XLOOKUP(TRIM(G81:N81), $X$2:$X$6, $Y$2:$Y$6, 0), $G$4:$N$4) + SUMPRODUCT(_xlfn.XLOOKUP(TRIM(P81:T81), $X$2:$X$6, $Y$2:$Y$6, 0), $P$4:$T$4)) / SUM($G$4:$N$4, $P$4:$T$4)</f>
        <v>3.2432432432432434</v>
      </c>
      <c r="E81" s="1" t="s">
        <v>301</v>
      </c>
      <c r="G81" s="16" t="s">
        <v>17</v>
      </c>
      <c r="H81" s="16" t="s">
        <v>16</v>
      </c>
      <c r="I81" s="16" t="s">
        <v>14</v>
      </c>
      <c r="J81" s="16" t="s">
        <v>16</v>
      </c>
      <c r="K81" s="16" t="s">
        <v>15</v>
      </c>
      <c r="L81" s="16" t="s">
        <v>14</v>
      </c>
      <c r="M81" s="16" t="s">
        <v>15</v>
      </c>
      <c r="N81" s="16" t="s">
        <v>14</v>
      </c>
      <c r="O81" s="15" cm="1">
        <f t="array" ref="O81">SUMPRODUCT(_xlfn.XLOOKUP(G81:N81, $X$2:$X$6, $Y$2:$Y$6,0), $G$4:$N$4) / SUM($G$4:$N$4)</f>
        <v>3.3636363636363638</v>
      </c>
      <c r="P81" s="1" t="s">
        <v>14</v>
      </c>
      <c r="Q81" s="1" t="s">
        <v>16</v>
      </c>
      <c r="R81" s="1" t="s">
        <v>17</v>
      </c>
      <c r="S81" s="1" t="s">
        <v>16</v>
      </c>
      <c r="T81" s="1" t="s">
        <v>14</v>
      </c>
      <c r="U81" s="15" cm="1">
        <f t="array" ref="U81">SUMPRODUCT(_xlfn.XLOOKUP(P81:T81, $X$2:$X$6, $Y$2:$Y$6, 0), $P$4:$T$4) / SUM($P$4:$T$4)</f>
        <v>3.0666666666666669</v>
      </c>
    </row>
    <row r="82" spans="1:21">
      <c r="A82" s="1">
        <v>1103969123</v>
      </c>
      <c r="B82" s="1" t="s">
        <v>179</v>
      </c>
      <c r="C82" s="1" t="s">
        <v>180</v>
      </c>
      <c r="D82" s="15" cm="1">
        <f t="array" ref="D82">(SUMPRODUCT(_xlfn.XLOOKUP(TRIM(G82:N82), $X$2:$X$6, $Y$2:$Y$6, 0), $G$4:$N$4) + SUMPRODUCT(_xlfn.XLOOKUP(TRIM(P82:T82), $X$2:$X$6, $Y$2:$Y$6, 0), $P$4:$T$4)) / SUM($G$4:$N$4, $P$4:$T$4)</f>
        <v>3.4594594594594597</v>
      </c>
      <c r="E82" s="1" t="s">
        <v>301</v>
      </c>
      <c r="G82" s="16" t="s">
        <v>16</v>
      </c>
      <c r="H82" s="16" t="s">
        <v>14</v>
      </c>
      <c r="I82" s="16" t="s">
        <v>16</v>
      </c>
      <c r="J82" s="16" t="s">
        <v>16</v>
      </c>
      <c r="K82" s="16" t="s">
        <v>15</v>
      </c>
      <c r="L82" s="16" t="s">
        <v>14</v>
      </c>
      <c r="M82" s="16" t="s">
        <v>14</v>
      </c>
      <c r="N82" s="16" t="s">
        <v>16</v>
      </c>
      <c r="O82" s="15" cm="1">
        <f t="array" ref="O82">SUMPRODUCT(_xlfn.XLOOKUP(G82:N82, $X$2:$X$6, $Y$2:$Y$6,0), $G$4:$N$4) / SUM($G$4:$N$4)</f>
        <v>3.4090909090909092</v>
      </c>
      <c r="P82" s="1" t="s">
        <v>14</v>
      </c>
      <c r="Q82" s="1" t="s">
        <v>15</v>
      </c>
      <c r="R82" s="1" t="s">
        <v>15</v>
      </c>
      <c r="S82" s="1" t="s">
        <v>16</v>
      </c>
      <c r="T82" s="1" t="s">
        <v>14</v>
      </c>
      <c r="U82" s="15" cm="1">
        <f t="array" ref="U82">SUMPRODUCT(_xlfn.XLOOKUP(P82:T82, $X$2:$X$6, $Y$2:$Y$6, 0), $P$4:$T$4) / SUM($P$4:$T$4)</f>
        <v>3.5333333333333332</v>
      </c>
    </row>
    <row r="83" spans="1:21">
      <c r="A83" s="1">
        <v>1103550123</v>
      </c>
      <c r="B83" s="1" t="s">
        <v>181</v>
      </c>
      <c r="C83" s="1" t="s">
        <v>182</v>
      </c>
      <c r="D83" s="15" cm="1">
        <f t="array" ref="D83">(SUMPRODUCT(_xlfn.XLOOKUP(TRIM(G83:N83), $X$2:$X$6, $Y$2:$Y$6, 0), $G$4:$N$4) + SUMPRODUCT(_xlfn.XLOOKUP(TRIM(P83:T83), $X$2:$X$6, $Y$2:$Y$6, 0), $P$4:$T$4)) / SUM($G$4:$N$4, $P$4:$T$4)</f>
        <v>2.5945945945945947</v>
      </c>
      <c r="E83" s="1" t="s">
        <v>301</v>
      </c>
      <c r="G83" s="16" t="s">
        <v>17</v>
      </c>
      <c r="H83" s="16" t="s">
        <v>15</v>
      </c>
      <c r="I83" s="16" t="s">
        <v>17</v>
      </c>
      <c r="J83" s="16" t="s">
        <v>16</v>
      </c>
      <c r="K83" s="16" t="s">
        <v>17</v>
      </c>
      <c r="L83" s="16" t="s">
        <v>15</v>
      </c>
      <c r="M83" s="16" t="s">
        <v>16</v>
      </c>
      <c r="N83" s="16" t="s">
        <v>16</v>
      </c>
      <c r="O83" s="15" cm="1">
        <f t="array" ref="O83">SUMPRODUCT(_xlfn.XLOOKUP(G83:N83, $X$2:$X$6, $Y$2:$Y$6,0), $G$4:$N$4) / SUM($G$4:$N$4)</f>
        <v>2.7727272727272729</v>
      </c>
      <c r="P83" s="1" t="s">
        <v>17</v>
      </c>
      <c r="Q83" s="1" t="s">
        <v>16</v>
      </c>
      <c r="R83" s="1" t="s">
        <v>17</v>
      </c>
      <c r="S83" s="1" t="s">
        <v>17</v>
      </c>
      <c r="T83" s="1" t="s">
        <v>15</v>
      </c>
      <c r="U83" s="15" cm="1">
        <f t="array" ref="U83">SUMPRODUCT(_xlfn.XLOOKUP(P83:T83, $X$2:$X$6, $Y$2:$Y$6, 0), $P$4:$T$4) / SUM($P$4:$T$4)</f>
        <v>2.3333333333333335</v>
      </c>
    </row>
    <row r="84" spans="1:21">
      <c r="A84" s="1">
        <v>1101614423</v>
      </c>
      <c r="B84" s="1" t="s">
        <v>183</v>
      </c>
      <c r="C84" s="1" t="s">
        <v>184</v>
      </c>
      <c r="D84" s="15" cm="1">
        <f t="array" ref="D84">(SUMPRODUCT(_xlfn.XLOOKUP(TRIM(G84:N84), $X$2:$X$6, $Y$2:$Y$6, 0), $G$4:$N$4) + SUMPRODUCT(_xlfn.XLOOKUP(TRIM(P84:T84), $X$2:$X$6, $Y$2:$Y$6, 0), $P$4:$T$4)) / SUM($G$4:$N$4, $P$4:$T$4)</f>
        <v>3.0540540540540539</v>
      </c>
      <c r="E84" s="1" t="s">
        <v>301</v>
      </c>
      <c r="G84" s="16" t="s">
        <v>16</v>
      </c>
      <c r="H84" s="16" t="s">
        <v>14</v>
      </c>
      <c r="I84" s="16" t="s">
        <v>14</v>
      </c>
      <c r="J84" s="16" t="s">
        <v>15</v>
      </c>
      <c r="K84" s="16" t="s">
        <v>14</v>
      </c>
      <c r="L84" s="16" t="s">
        <v>15</v>
      </c>
      <c r="M84" s="16" t="s">
        <v>17</v>
      </c>
      <c r="N84" s="16" t="s">
        <v>16</v>
      </c>
      <c r="O84" s="15" cm="1">
        <f t="array" ref="O84">SUMPRODUCT(_xlfn.XLOOKUP(G84:N84, $X$2:$X$6, $Y$2:$Y$6,0), $G$4:$N$4) / SUM($G$4:$N$4)</f>
        <v>3.5</v>
      </c>
      <c r="P84" s="1" t="s">
        <v>17</v>
      </c>
      <c r="Q84" s="1" t="s">
        <v>17</v>
      </c>
      <c r="R84" s="1" t="s">
        <v>17</v>
      </c>
      <c r="S84" s="1" t="s">
        <v>15</v>
      </c>
      <c r="T84" s="1" t="s">
        <v>17</v>
      </c>
      <c r="U84" s="15" cm="1">
        <f t="array" ref="U84">SUMPRODUCT(_xlfn.XLOOKUP(P84:T84, $X$2:$X$6, $Y$2:$Y$6, 0), $P$4:$T$4) / SUM($P$4:$T$4)</f>
        <v>2.4</v>
      </c>
    </row>
    <row r="85" spans="1:21">
      <c r="A85" s="1">
        <v>2100384423</v>
      </c>
      <c r="B85" s="1" t="s">
        <v>185</v>
      </c>
      <c r="C85" s="1" t="s">
        <v>186</v>
      </c>
      <c r="D85" s="15" cm="1">
        <f t="array" ref="D85">(SUMPRODUCT(_xlfn.XLOOKUP(TRIM(G85:N85), $X$2:$X$6, $Y$2:$Y$6, 0), $G$4:$N$4) + SUMPRODUCT(_xlfn.XLOOKUP(TRIM(P85:T85), $X$2:$X$6, $Y$2:$Y$6, 0), $P$4:$T$4)) / SUM($G$4:$N$4, $P$4:$T$4)</f>
        <v>3.0405405405405403</v>
      </c>
      <c r="E85" s="1" t="s">
        <v>301</v>
      </c>
      <c r="G85" s="16" t="s">
        <v>16</v>
      </c>
      <c r="H85" s="16" t="s">
        <v>15</v>
      </c>
      <c r="I85" s="16" t="s">
        <v>15</v>
      </c>
      <c r="J85" s="16" t="s">
        <v>15</v>
      </c>
      <c r="K85" s="16" t="s">
        <v>14</v>
      </c>
      <c r="L85" s="16" t="s">
        <v>15</v>
      </c>
      <c r="M85" s="16" t="s">
        <v>15</v>
      </c>
      <c r="N85" s="16" t="s">
        <v>17</v>
      </c>
      <c r="O85" s="15" cm="1">
        <f t="array" ref="O85">SUMPRODUCT(_xlfn.XLOOKUP(G85:N85, $X$2:$X$6, $Y$2:$Y$6,0), $G$4:$N$4) / SUM($G$4:$N$4)</f>
        <v>3.3636363636363638</v>
      </c>
      <c r="P85" s="1" t="s">
        <v>15</v>
      </c>
      <c r="Q85" s="1" t="s">
        <v>17</v>
      </c>
      <c r="R85" s="1" t="s">
        <v>17</v>
      </c>
      <c r="S85" s="1" t="s">
        <v>16</v>
      </c>
      <c r="T85" s="1" t="s">
        <v>17</v>
      </c>
      <c r="U85" s="15" cm="1">
        <f t="array" ref="U85">SUMPRODUCT(_xlfn.XLOOKUP(P85:T85, $X$2:$X$6, $Y$2:$Y$6, 0), $P$4:$T$4) / SUM($P$4:$T$4)</f>
        <v>2.5666666666666669</v>
      </c>
    </row>
    <row r="86" spans="1:21">
      <c r="A86" s="1">
        <v>1100599623</v>
      </c>
      <c r="B86" s="1" t="s">
        <v>187</v>
      </c>
      <c r="C86" s="1" t="s">
        <v>188</v>
      </c>
      <c r="D86" s="15" cm="1">
        <f t="array" ref="D86">(SUMPRODUCT(_xlfn.XLOOKUP(TRIM(G86:N86), $X$2:$X$6, $Y$2:$Y$6, 0), $G$4:$N$4) + SUMPRODUCT(_xlfn.XLOOKUP(TRIM(P86:T86), $X$2:$X$6, $Y$2:$Y$6, 0), $P$4:$T$4)) / SUM($G$4:$N$4, $P$4:$T$4)</f>
        <v>2.8378378378378377</v>
      </c>
      <c r="E86" s="1" t="s">
        <v>301</v>
      </c>
      <c r="G86" s="16" t="s">
        <v>16</v>
      </c>
      <c r="H86" s="16" t="s">
        <v>16</v>
      </c>
      <c r="I86" s="16" t="s">
        <v>16</v>
      </c>
      <c r="J86" s="16" t="s">
        <v>15</v>
      </c>
      <c r="K86" s="16" t="s">
        <v>16</v>
      </c>
      <c r="L86" s="16" t="s">
        <v>17</v>
      </c>
      <c r="M86" s="16" t="s">
        <v>17</v>
      </c>
      <c r="N86" s="16" t="s">
        <v>14</v>
      </c>
      <c r="O86" s="15" cm="1">
        <f t="array" ref="O86">SUMPRODUCT(_xlfn.XLOOKUP(G86:N86, $X$2:$X$6, $Y$2:$Y$6,0), $G$4:$N$4) / SUM($G$4:$N$4)</f>
        <v>3</v>
      </c>
      <c r="P86" s="1" t="s">
        <v>17</v>
      </c>
      <c r="Q86" s="1" t="s">
        <v>16</v>
      </c>
      <c r="R86" s="1" t="s">
        <v>16</v>
      </c>
      <c r="S86" s="1" t="s">
        <v>17</v>
      </c>
      <c r="T86" s="1" t="s">
        <v>15</v>
      </c>
      <c r="U86" s="15" cm="1">
        <f t="array" ref="U86">SUMPRODUCT(_xlfn.XLOOKUP(P86:T86, $X$2:$X$6, $Y$2:$Y$6, 0), $P$4:$T$4) / SUM($P$4:$T$4)</f>
        <v>2.6</v>
      </c>
    </row>
    <row r="87" spans="1:21">
      <c r="A87" s="1">
        <v>2100515323</v>
      </c>
      <c r="B87" s="1" t="s">
        <v>189</v>
      </c>
      <c r="C87" s="1" t="s">
        <v>190</v>
      </c>
      <c r="D87" s="15" cm="1">
        <f t="array" ref="D87">(SUMPRODUCT(_xlfn.XLOOKUP(TRIM(G87:N87), $X$2:$X$6, $Y$2:$Y$6, 0), $G$4:$N$4) + SUMPRODUCT(_xlfn.XLOOKUP(TRIM(P87:T87), $X$2:$X$6, $Y$2:$Y$6, 0), $P$4:$T$4)) / SUM($G$4:$N$4, $P$4:$T$4)</f>
        <v>3.3513513513513513</v>
      </c>
      <c r="E87" s="1" t="s">
        <v>301</v>
      </c>
      <c r="G87" s="16" t="s">
        <v>17</v>
      </c>
      <c r="H87" s="16" t="s">
        <v>14</v>
      </c>
      <c r="I87" s="16" t="s">
        <v>14</v>
      </c>
      <c r="J87" s="16" t="s">
        <v>15</v>
      </c>
      <c r="K87" s="16" t="s">
        <v>14</v>
      </c>
      <c r="L87" s="16" t="s">
        <v>14</v>
      </c>
      <c r="M87" s="16" t="s">
        <v>16</v>
      </c>
      <c r="N87" s="16" t="s">
        <v>15</v>
      </c>
      <c r="O87" s="15" cm="1">
        <f t="array" ref="O87">SUMPRODUCT(_xlfn.XLOOKUP(G87:N87, $X$2:$X$6, $Y$2:$Y$6,0), $G$4:$N$4) / SUM($G$4:$N$4)</f>
        <v>3.5909090909090908</v>
      </c>
      <c r="P87" s="1" t="s">
        <v>16</v>
      </c>
      <c r="Q87" s="1" t="s">
        <v>16</v>
      </c>
      <c r="R87" s="1" t="s">
        <v>15</v>
      </c>
      <c r="S87" s="1" t="s">
        <v>16</v>
      </c>
      <c r="T87" s="1" t="s">
        <v>17</v>
      </c>
      <c r="U87" s="15" cm="1">
        <f t="array" ref="U87">SUMPRODUCT(_xlfn.XLOOKUP(P87:T87, $X$2:$X$6, $Y$2:$Y$6, 0), $P$4:$T$4) / SUM($P$4:$T$4)</f>
        <v>3</v>
      </c>
    </row>
    <row r="88" spans="1:21">
      <c r="A88" s="1">
        <v>2100063323</v>
      </c>
      <c r="B88" s="1" t="s">
        <v>191</v>
      </c>
      <c r="C88" s="1" t="s">
        <v>192</v>
      </c>
      <c r="D88" s="15" cm="1">
        <f t="array" ref="D88">(SUMPRODUCT(_xlfn.XLOOKUP(TRIM(G88:N88), $X$2:$X$6, $Y$2:$Y$6, 0), $G$4:$N$4) + SUMPRODUCT(_xlfn.XLOOKUP(TRIM(P88:T88), $X$2:$X$6, $Y$2:$Y$6, 0), $P$4:$T$4)) / SUM($G$4:$N$4, $P$4:$T$4)</f>
        <v>3.3243243243243241</v>
      </c>
      <c r="E88" s="1" t="s">
        <v>301</v>
      </c>
      <c r="G88" s="16" t="s">
        <v>15</v>
      </c>
      <c r="H88" s="16" t="s">
        <v>14</v>
      </c>
      <c r="I88" s="16" t="s">
        <v>16</v>
      </c>
      <c r="J88" s="16" t="s">
        <v>15</v>
      </c>
      <c r="K88" s="16" t="s">
        <v>14</v>
      </c>
      <c r="L88" s="16" t="s">
        <v>15</v>
      </c>
      <c r="M88" s="16" t="s">
        <v>16</v>
      </c>
      <c r="N88" s="16" t="s">
        <v>15</v>
      </c>
      <c r="O88" s="15" cm="1">
        <f t="array" ref="O88">SUMPRODUCT(_xlfn.XLOOKUP(G88:N88, $X$2:$X$6, $Y$2:$Y$6,0), $G$4:$N$4) / SUM($G$4:$N$4)</f>
        <v>3.5</v>
      </c>
      <c r="P88" s="1" t="s">
        <v>14</v>
      </c>
      <c r="Q88" s="1" t="s">
        <v>14</v>
      </c>
      <c r="R88" s="1" t="s">
        <v>16</v>
      </c>
      <c r="S88" s="1" t="s">
        <v>17</v>
      </c>
      <c r="T88" s="1" t="s">
        <v>16</v>
      </c>
      <c r="U88" s="15" cm="1">
        <f t="array" ref="U88">SUMPRODUCT(_xlfn.XLOOKUP(P88:T88, $X$2:$X$6, $Y$2:$Y$6, 0), $P$4:$T$4) / SUM($P$4:$T$4)</f>
        <v>3.0666666666666669</v>
      </c>
    </row>
    <row r="89" spans="1:21">
      <c r="A89" s="1">
        <v>2100071623</v>
      </c>
      <c r="B89" s="1" t="s">
        <v>193</v>
      </c>
      <c r="C89" s="1" t="s">
        <v>194</v>
      </c>
      <c r="D89" s="15" cm="1">
        <f t="array" ref="D89">(SUMPRODUCT(_xlfn.XLOOKUP(TRIM(G89:N89), $X$2:$X$6, $Y$2:$Y$6, 0), $G$4:$N$4) + SUMPRODUCT(_xlfn.XLOOKUP(TRIM(P89:T89), $X$2:$X$6, $Y$2:$Y$6, 0), $P$4:$T$4)) / SUM($G$4:$N$4, $P$4:$T$4)</f>
        <v>3.1081081081081079</v>
      </c>
      <c r="E89" s="1" t="s">
        <v>301</v>
      </c>
      <c r="G89" s="16" t="s">
        <v>16</v>
      </c>
      <c r="H89" s="16" t="s">
        <v>17</v>
      </c>
      <c r="I89" s="16" t="s">
        <v>15</v>
      </c>
      <c r="J89" s="16" t="s">
        <v>14</v>
      </c>
      <c r="K89" s="16" t="s">
        <v>16</v>
      </c>
      <c r="L89" s="16" t="s">
        <v>16</v>
      </c>
      <c r="M89" s="16" t="s">
        <v>17</v>
      </c>
      <c r="N89" s="16" t="s">
        <v>14</v>
      </c>
      <c r="O89" s="15" cm="1">
        <f t="array" ref="O89">SUMPRODUCT(_xlfn.XLOOKUP(G89:N89, $X$2:$X$6, $Y$2:$Y$6,0), $G$4:$N$4) / SUM($G$4:$N$4)</f>
        <v>3.0909090909090908</v>
      </c>
      <c r="P89" s="1" t="s">
        <v>14</v>
      </c>
      <c r="Q89" s="1" t="s">
        <v>14</v>
      </c>
      <c r="R89" s="1" t="s">
        <v>17</v>
      </c>
      <c r="S89" s="1" t="s">
        <v>16</v>
      </c>
      <c r="T89" s="1" t="s">
        <v>15</v>
      </c>
      <c r="U89" s="15" cm="1">
        <f t="array" ref="U89">SUMPRODUCT(_xlfn.XLOOKUP(P89:T89, $X$2:$X$6, $Y$2:$Y$6, 0), $P$4:$T$4) / SUM($P$4:$T$4)</f>
        <v>3.1333333333333333</v>
      </c>
    </row>
    <row r="90" spans="1:21">
      <c r="A90" s="1">
        <v>1100136923</v>
      </c>
      <c r="B90" s="1" t="s">
        <v>195</v>
      </c>
      <c r="C90" s="1" t="s">
        <v>196</v>
      </c>
      <c r="D90" s="15" cm="1">
        <f t="array" ref="D90">(SUMPRODUCT(_xlfn.XLOOKUP(TRIM(G90:N90), $X$2:$X$6, $Y$2:$Y$6, 0), $G$4:$N$4) + SUMPRODUCT(_xlfn.XLOOKUP(TRIM(P90:T90), $X$2:$X$6, $Y$2:$Y$6, 0), $P$4:$T$4)) / SUM($G$4:$N$4, $P$4:$T$4)</f>
        <v>3.2432432432432434</v>
      </c>
      <c r="E90" s="1" t="s">
        <v>301</v>
      </c>
      <c r="G90" s="16" t="s">
        <v>16</v>
      </c>
      <c r="H90" s="16" t="s">
        <v>14</v>
      </c>
      <c r="I90" s="16" t="s">
        <v>16</v>
      </c>
      <c r="J90" s="16" t="s">
        <v>16</v>
      </c>
      <c r="K90" s="16" t="s">
        <v>15</v>
      </c>
      <c r="L90" s="16" t="s">
        <v>14</v>
      </c>
      <c r="M90" s="16" t="s">
        <v>16</v>
      </c>
      <c r="N90" s="16" t="s">
        <v>15</v>
      </c>
      <c r="O90" s="15" cm="1">
        <f t="array" ref="O90">SUMPRODUCT(_xlfn.XLOOKUP(G90:N90, $X$2:$X$6, $Y$2:$Y$6,0), $G$4:$N$4) / SUM($G$4:$N$4)</f>
        <v>3.3636363636363638</v>
      </c>
      <c r="P90" s="1" t="s">
        <v>16</v>
      </c>
      <c r="Q90" s="1" t="s">
        <v>15</v>
      </c>
      <c r="R90" s="1" t="s">
        <v>15</v>
      </c>
      <c r="S90" s="1" t="s">
        <v>17</v>
      </c>
      <c r="T90" s="1" t="s">
        <v>14</v>
      </c>
      <c r="U90" s="15" cm="1">
        <f t="array" ref="U90">SUMPRODUCT(_xlfn.XLOOKUP(P90:T90, $X$2:$X$6, $Y$2:$Y$6, 0), $P$4:$T$4) / SUM($P$4:$T$4)</f>
        <v>3.0666666666666669</v>
      </c>
    </row>
    <row r="91" spans="1:21">
      <c r="A91" s="1">
        <v>1100069923</v>
      </c>
      <c r="B91" s="1" t="s">
        <v>197</v>
      </c>
      <c r="C91" s="1" t="s">
        <v>198</v>
      </c>
      <c r="D91" s="15" cm="1">
        <f t="array" ref="D91">(SUMPRODUCT(_xlfn.XLOOKUP(TRIM(G91:N91), $X$2:$X$6, $Y$2:$Y$6, 0), $G$4:$N$4) + SUMPRODUCT(_xlfn.XLOOKUP(TRIM(P91:T91), $X$2:$X$6, $Y$2:$Y$6, 0), $P$4:$T$4)) / SUM($G$4:$N$4, $P$4:$T$4)</f>
        <v>2.9729729729729728</v>
      </c>
      <c r="E91" s="1" t="s">
        <v>301</v>
      </c>
      <c r="G91" s="16" t="s">
        <v>16</v>
      </c>
      <c r="H91" s="16" t="s">
        <v>16</v>
      </c>
      <c r="I91" s="16" t="s">
        <v>16</v>
      </c>
      <c r="J91" s="16" t="s">
        <v>15</v>
      </c>
      <c r="K91" s="16" t="s">
        <v>15</v>
      </c>
      <c r="L91" s="16" t="s">
        <v>15</v>
      </c>
      <c r="M91" s="16" t="s">
        <v>14</v>
      </c>
      <c r="N91" s="16" t="s">
        <v>14</v>
      </c>
      <c r="O91" s="15" cm="1">
        <f t="array" ref="O91">SUMPRODUCT(_xlfn.XLOOKUP(G91:N91, $X$2:$X$6, $Y$2:$Y$6,0), $G$4:$N$4) / SUM($G$4:$N$4)</f>
        <v>3.3636363636363638</v>
      </c>
      <c r="P91" s="1" t="s">
        <v>17</v>
      </c>
      <c r="Q91" s="1" t="s">
        <v>14</v>
      </c>
      <c r="R91" s="1" t="s">
        <v>17</v>
      </c>
      <c r="S91" s="1" t="s">
        <v>17</v>
      </c>
      <c r="T91" s="1" t="s">
        <v>16</v>
      </c>
      <c r="U91" s="15" cm="1">
        <f t="array" ref="U91">SUMPRODUCT(_xlfn.XLOOKUP(P91:T91, $X$2:$X$6, $Y$2:$Y$6, 0), $P$4:$T$4) / SUM($P$4:$T$4)</f>
        <v>2.4</v>
      </c>
    </row>
    <row r="92" spans="1:21">
      <c r="A92" s="1">
        <v>1100644023</v>
      </c>
      <c r="B92" s="1" t="s">
        <v>199</v>
      </c>
      <c r="C92" s="1" t="s">
        <v>200</v>
      </c>
      <c r="D92" s="15" cm="1">
        <f t="array" ref="D92">(SUMPRODUCT(_xlfn.XLOOKUP(TRIM(G92:N92), $X$2:$X$6, $Y$2:$Y$6, 0), $G$4:$N$4) + SUMPRODUCT(_xlfn.XLOOKUP(TRIM(P92:T92), $X$2:$X$6, $Y$2:$Y$6, 0), $P$4:$T$4)) / SUM($G$4:$N$4, $P$4:$T$4)</f>
        <v>3</v>
      </c>
      <c r="E92" s="1" t="s">
        <v>301</v>
      </c>
      <c r="G92" s="16" t="s">
        <v>17</v>
      </c>
      <c r="H92" s="16" t="s">
        <v>16</v>
      </c>
      <c r="I92" s="16" t="s">
        <v>17</v>
      </c>
      <c r="J92" s="16" t="s">
        <v>14</v>
      </c>
      <c r="K92" s="16" t="s">
        <v>17</v>
      </c>
      <c r="L92" s="16" t="s">
        <v>15</v>
      </c>
      <c r="M92" s="16" t="s">
        <v>14</v>
      </c>
      <c r="N92" s="16" t="s">
        <v>14</v>
      </c>
      <c r="O92" s="15" cm="1">
        <f t="array" ref="O92">SUMPRODUCT(_xlfn.XLOOKUP(G92:N92, $X$2:$X$6, $Y$2:$Y$6,0), $G$4:$N$4) / SUM($G$4:$N$4)</f>
        <v>3.0454545454545454</v>
      </c>
      <c r="P92" s="1" t="s">
        <v>17</v>
      </c>
      <c r="Q92" s="1" t="s">
        <v>14</v>
      </c>
      <c r="R92" s="1" t="s">
        <v>15</v>
      </c>
      <c r="S92" s="1" t="s">
        <v>16</v>
      </c>
      <c r="T92" s="1" t="s">
        <v>17</v>
      </c>
      <c r="U92" s="15" cm="1">
        <f t="array" ref="U92">SUMPRODUCT(_xlfn.XLOOKUP(P92:T92, $X$2:$X$6, $Y$2:$Y$6, 0), $P$4:$T$4) / SUM($P$4:$T$4)</f>
        <v>2.9333333333333331</v>
      </c>
    </row>
    <row r="93" spans="1:21">
      <c r="A93" s="1">
        <v>1102010923</v>
      </c>
      <c r="B93" s="1" t="s">
        <v>201</v>
      </c>
      <c r="C93" s="1" t="s">
        <v>202</v>
      </c>
      <c r="D93" s="15" cm="1">
        <f t="array" ref="D93">(SUMPRODUCT(_xlfn.XLOOKUP(TRIM(G93:N93), $X$2:$X$6, $Y$2:$Y$6, 0), $G$4:$N$4) + SUMPRODUCT(_xlfn.XLOOKUP(TRIM(P93:T93), $X$2:$X$6, $Y$2:$Y$6, 0), $P$4:$T$4)) / SUM($G$4:$N$4, $P$4:$T$4)</f>
        <v>2.9189189189189189</v>
      </c>
      <c r="E93" s="1" t="s">
        <v>301</v>
      </c>
      <c r="G93" s="16" t="s">
        <v>14</v>
      </c>
      <c r="H93" s="16" t="s">
        <v>17</v>
      </c>
      <c r="I93" s="16" t="s">
        <v>17</v>
      </c>
      <c r="J93" s="16" t="s">
        <v>15</v>
      </c>
      <c r="K93" s="16" t="s">
        <v>17</v>
      </c>
      <c r="L93" s="16" t="s">
        <v>14</v>
      </c>
      <c r="M93" s="16" t="s">
        <v>16</v>
      </c>
      <c r="N93" s="16" t="s">
        <v>16</v>
      </c>
      <c r="O93" s="15" cm="1">
        <f t="array" ref="O93">SUMPRODUCT(_xlfn.XLOOKUP(G93:N93, $X$2:$X$6, $Y$2:$Y$6,0), $G$4:$N$4) / SUM($G$4:$N$4)</f>
        <v>2.8181818181818183</v>
      </c>
      <c r="P93" s="1" t="s">
        <v>16</v>
      </c>
      <c r="Q93" s="1" t="s">
        <v>14</v>
      </c>
      <c r="R93" s="1" t="s">
        <v>17</v>
      </c>
      <c r="S93" s="1" t="s">
        <v>15</v>
      </c>
      <c r="T93" s="1" t="s">
        <v>15</v>
      </c>
      <c r="U93" s="15" cm="1">
        <f t="array" ref="U93">SUMPRODUCT(_xlfn.XLOOKUP(P93:T93, $X$2:$X$6, $Y$2:$Y$6, 0), $P$4:$T$4) / SUM($P$4:$T$4)</f>
        <v>3.0666666666666669</v>
      </c>
    </row>
    <row r="94" spans="1:21">
      <c r="A94" s="1">
        <v>2100113623</v>
      </c>
      <c r="B94" s="1" t="s">
        <v>203</v>
      </c>
      <c r="C94" s="1" t="s">
        <v>204</v>
      </c>
      <c r="D94" s="15" cm="1">
        <f t="array" ref="D94">(SUMPRODUCT(_xlfn.XLOOKUP(TRIM(G94:N94), $X$2:$X$6, $Y$2:$Y$6, 0), $G$4:$N$4) + SUMPRODUCT(_xlfn.XLOOKUP(TRIM(P94:T94), $X$2:$X$6, $Y$2:$Y$6, 0), $P$4:$T$4)) / SUM($G$4:$N$4, $P$4:$T$4)</f>
        <v>2.9594594594594597</v>
      </c>
      <c r="E94" s="1" t="s">
        <v>301</v>
      </c>
      <c r="G94" s="16" t="s">
        <v>15</v>
      </c>
      <c r="H94" s="16" t="s">
        <v>17</v>
      </c>
      <c r="I94" s="16" t="s">
        <v>17</v>
      </c>
      <c r="J94" s="16" t="s">
        <v>15</v>
      </c>
      <c r="K94" s="16" t="s">
        <v>17</v>
      </c>
      <c r="L94" s="16" t="s">
        <v>14</v>
      </c>
      <c r="M94" s="16" t="s">
        <v>14</v>
      </c>
      <c r="N94" s="16" t="s">
        <v>14</v>
      </c>
      <c r="O94" s="15" cm="1">
        <f t="array" ref="O94">SUMPRODUCT(_xlfn.XLOOKUP(G94:N94, $X$2:$X$6, $Y$2:$Y$6,0), $G$4:$N$4) / SUM($G$4:$N$4)</f>
        <v>2.9545454545454546</v>
      </c>
      <c r="P94" s="1" t="s">
        <v>15</v>
      </c>
      <c r="Q94" s="1" t="s">
        <v>15</v>
      </c>
      <c r="R94" s="1" t="s">
        <v>16</v>
      </c>
      <c r="S94" s="1" t="s">
        <v>17</v>
      </c>
      <c r="T94" s="1" t="s">
        <v>15</v>
      </c>
      <c r="U94" s="15" cm="1">
        <f t="array" ref="U94">SUMPRODUCT(_xlfn.XLOOKUP(P94:T94, $X$2:$X$6, $Y$2:$Y$6, 0), $P$4:$T$4) / SUM($P$4:$T$4)</f>
        <v>2.9666666666666668</v>
      </c>
    </row>
    <row r="95" spans="1:21">
      <c r="A95" s="1">
        <v>1104000623</v>
      </c>
      <c r="B95" s="1" t="s">
        <v>205</v>
      </c>
      <c r="C95" s="1" t="s">
        <v>206</v>
      </c>
      <c r="D95" s="15" cm="1">
        <f t="array" ref="D95">(SUMPRODUCT(_xlfn.XLOOKUP(TRIM(G95:N95), $X$2:$X$6, $Y$2:$Y$6, 0), $G$4:$N$4) + SUMPRODUCT(_xlfn.XLOOKUP(TRIM(P95:T95), $X$2:$X$6, $Y$2:$Y$6, 0), $P$4:$T$4)) / SUM($G$4:$N$4, $P$4:$T$4)</f>
        <v>2.810810810810811</v>
      </c>
      <c r="E95" s="1" t="s">
        <v>301</v>
      </c>
      <c r="G95" s="16" t="s">
        <v>16</v>
      </c>
      <c r="H95" s="16" t="s">
        <v>15</v>
      </c>
      <c r="I95" s="16" t="s">
        <v>16</v>
      </c>
      <c r="J95" s="16" t="s">
        <v>15</v>
      </c>
      <c r="K95" s="16" t="s">
        <v>17</v>
      </c>
      <c r="L95" s="16" t="s">
        <v>17</v>
      </c>
      <c r="M95" s="16" t="s">
        <v>14</v>
      </c>
      <c r="N95" s="16" t="s">
        <v>16</v>
      </c>
      <c r="O95" s="15" cm="1">
        <f t="array" ref="O95">SUMPRODUCT(_xlfn.XLOOKUP(G95:N95, $X$2:$X$6, $Y$2:$Y$6,0), $G$4:$N$4) / SUM($G$4:$N$4)</f>
        <v>3.0909090909090908</v>
      </c>
      <c r="P95" s="1" t="s">
        <v>17</v>
      </c>
      <c r="Q95" s="1" t="s">
        <v>14</v>
      </c>
      <c r="R95" s="1" t="s">
        <v>17</v>
      </c>
      <c r="S95" s="1" t="s">
        <v>17</v>
      </c>
      <c r="T95" s="1" t="s">
        <v>16</v>
      </c>
      <c r="U95" s="15" cm="1">
        <f t="array" ref="U95">SUMPRODUCT(_xlfn.XLOOKUP(P95:T95, $X$2:$X$6, $Y$2:$Y$6, 0), $P$4:$T$4) / SUM($P$4:$T$4)</f>
        <v>2.4</v>
      </c>
    </row>
    <row r="96" spans="1:21">
      <c r="A96" s="1">
        <v>1100141123</v>
      </c>
      <c r="B96" s="1" t="s">
        <v>207</v>
      </c>
      <c r="C96" s="1" t="s">
        <v>208</v>
      </c>
      <c r="D96" s="15" cm="1">
        <f t="array" ref="D96">(SUMPRODUCT(_xlfn.XLOOKUP(TRIM(G96:N96), $X$2:$X$6, $Y$2:$Y$6, 0), $G$4:$N$4) + SUMPRODUCT(_xlfn.XLOOKUP(TRIM(P96:T96), $X$2:$X$6, $Y$2:$Y$6, 0), $P$4:$T$4)) / SUM($G$4:$N$4, $P$4:$T$4)</f>
        <v>2.9324324324324325</v>
      </c>
      <c r="E96" s="1" t="s">
        <v>301</v>
      </c>
      <c r="G96" s="16" t="s">
        <v>15</v>
      </c>
      <c r="H96" s="16" t="s">
        <v>16</v>
      </c>
      <c r="I96" s="16" t="s">
        <v>17</v>
      </c>
      <c r="J96" s="16" t="s">
        <v>17</v>
      </c>
      <c r="K96" s="16" t="s">
        <v>17</v>
      </c>
      <c r="L96" s="16" t="s">
        <v>16</v>
      </c>
      <c r="M96" s="16" t="s">
        <v>17</v>
      </c>
      <c r="N96" s="16" t="s">
        <v>15</v>
      </c>
      <c r="O96" s="15" cm="1">
        <f t="array" ref="O96">SUMPRODUCT(_xlfn.XLOOKUP(G96:N96, $X$2:$X$6, $Y$2:$Y$6,0), $G$4:$N$4) / SUM($G$4:$N$4)</f>
        <v>2.5454545454545454</v>
      </c>
      <c r="P96" s="1" t="s">
        <v>15</v>
      </c>
      <c r="Q96" s="1" t="s">
        <v>16</v>
      </c>
      <c r="R96" s="1" t="s">
        <v>14</v>
      </c>
      <c r="S96" s="1" t="s">
        <v>15</v>
      </c>
      <c r="T96" s="1" t="s">
        <v>16</v>
      </c>
      <c r="U96" s="15" cm="1">
        <f t="array" ref="U96">SUMPRODUCT(_xlfn.XLOOKUP(P96:T96, $X$2:$X$6, $Y$2:$Y$6, 0), $P$4:$T$4) / SUM($P$4:$T$4)</f>
        <v>3.5</v>
      </c>
    </row>
    <row r="97" spans="1:21">
      <c r="A97" s="1">
        <v>2100799523</v>
      </c>
      <c r="B97" s="1" t="s">
        <v>209</v>
      </c>
      <c r="C97" s="1" t="s">
        <v>210</v>
      </c>
      <c r="D97" s="15" cm="1">
        <f t="array" ref="D97">(SUMPRODUCT(_xlfn.XLOOKUP(TRIM(G97:N97), $X$2:$X$6, $Y$2:$Y$6, 0), $G$4:$N$4) + SUMPRODUCT(_xlfn.XLOOKUP(TRIM(P97:T97), $X$2:$X$6, $Y$2:$Y$6, 0), $P$4:$T$4)) / SUM($G$4:$N$4, $P$4:$T$4)</f>
        <v>3.7567567567567566</v>
      </c>
      <c r="E97" s="1" t="s">
        <v>301</v>
      </c>
      <c r="G97" s="16" t="s">
        <v>14</v>
      </c>
      <c r="H97" s="16" t="s">
        <v>14</v>
      </c>
      <c r="I97" s="16" t="s">
        <v>15</v>
      </c>
      <c r="J97" s="16" t="s">
        <v>14</v>
      </c>
      <c r="K97" s="16" t="s">
        <v>14</v>
      </c>
      <c r="L97" s="16" t="s">
        <v>14</v>
      </c>
      <c r="M97" s="16" t="s">
        <v>17</v>
      </c>
      <c r="N97" s="16" t="s">
        <v>15</v>
      </c>
      <c r="O97" s="15" cm="1">
        <f t="array" ref="O97">SUMPRODUCT(_xlfn.XLOOKUP(G97:N97, $X$2:$X$6, $Y$2:$Y$6,0), $G$4:$N$4) / SUM($G$4:$N$4)</f>
        <v>3.6818181818181817</v>
      </c>
      <c r="P97" s="1" t="s">
        <v>14</v>
      </c>
      <c r="Q97" s="1" t="s">
        <v>14</v>
      </c>
      <c r="R97" s="1" t="s">
        <v>15</v>
      </c>
      <c r="S97" s="1" t="s">
        <v>14</v>
      </c>
      <c r="T97" s="1" t="s">
        <v>14</v>
      </c>
      <c r="U97" s="15" cm="1">
        <f t="array" ref="U97">SUMPRODUCT(_xlfn.XLOOKUP(P97:T97, $X$2:$X$6, $Y$2:$Y$6, 0), $P$4:$T$4) / SUM($P$4:$T$4)</f>
        <v>3.8666666666666667</v>
      </c>
    </row>
    <row r="98" spans="1:21">
      <c r="A98" s="1">
        <v>1101835923</v>
      </c>
      <c r="B98" s="1" t="s">
        <v>211</v>
      </c>
      <c r="C98" s="1" t="s">
        <v>212</v>
      </c>
      <c r="D98" s="15" cm="1">
        <f t="array" ref="D98">(SUMPRODUCT(_xlfn.XLOOKUP(TRIM(G98:N98), $X$2:$X$6, $Y$2:$Y$6, 0), $G$4:$N$4) + SUMPRODUCT(_xlfn.XLOOKUP(TRIM(P98:T98), $X$2:$X$6, $Y$2:$Y$6, 0), $P$4:$T$4)) / SUM($G$4:$N$4, $P$4:$T$4)</f>
        <v>2.9459459459459461</v>
      </c>
      <c r="E98" s="1" t="s">
        <v>301</v>
      </c>
      <c r="G98" s="16" t="s">
        <v>17</v>
      </c>
      <c r="H98" s="16" t="s">
        <v>17</v>
      </c>
      <c r="I98" s="16" t="s">
        <v>16</v>
      </c>
      <c r="J98" s="16" t="s">
        <v>16</v>
      </c>
      <c r="K98" s="16" t="s">
        <v>14</v>
      </c>
      <c r="L98" s="16" t="s">
        <v>15</v>
      </c>
      <c r="M98" s="16" t="s">
        <v>16</v>
      </c>
      <c r="N98" s="16" t="s">
        <v>17</v>
      </c>
      <c r="O98" s="15" cm="1">
        <f t="array" ref="O98">SUMPRODUCT(_xlfn.XLOOKUP(G98:N98, $X$2:$X$6, $Y$2:$Y$6,0), $G$4:$N$4) / SUM($G$4:$N$4)</f>
        <v>2.7727272727272729</v>
      </c>
      <c r="P98" s="1" t="s">
        <v>17</v>
      </c>
      <c r="Q98" s="1" t="s">
        <v>14</v>
      </c>
      <c r="R98" s="1" t="s">
        <v>16</v>
      </c>
      <c r="S98" s="1" t="s">
        <v>14</v>
      </c>
      <c r="T98" s="1" t="s">
        <v>16</v>
      </c>
      <c r="U98" s="15" cm="1">
        <f t="array" ref="U98">SUMPRODUCT(_xlfn.XLOOKUP(P98:T98, $X$2:$X$6, $Y$2:$Y$6, 0), $P$4:$T$4) / SUM($P$4:$T$4)</f>
        <v>3.2</v>
      </c>
    </row>
    <row r="99" spans="1:21">
      <c r="A99" s="1">
        <v>1101099623</v>
      </c>
      <c r="B99" s="1" t="s">
        <v>213</v>
      </c>
      <c r="C99" s="1" t="s">
        <v>214</v>
      </c>
      <c r="D99" s="15" cm="1">
        <f t="array" ref="D99">(SUMPRODUCT(_xlfn.XLOOKUP(TRIM(G99:N99), $X$2:$X$6, $Y$2:$Y$6, 0), $G$4:$N$4) + SUMPRODUCT(_xlfn.XLOOKUP(TRIM(P99:T99), $X$2:$X$6, $Y$2:$Y$6, 0), $P$4:$T$4)) / SUM($G$4:$N$4, $P$4:$T$4)</f>
        <v>2.7297297297297298</v>
      </c>
      <c r="E99" s="1" t="s">
        <v>301</v>
      </c>
      <c r="G99" s="16" t="s">
        <v>17</v>
      </c>
      <c r="H99" s="16" t="s">
        <v>17</v>
      </c>
      <c r="I99" s="16" t="s">
        <v>16</v>
      </c>
      <c r="J99" s="16" t="s">
        <v>14</v>
      </c>
      <c r="K99" s="16" t="s">
        <v>14</v>
      </c>
      <c r="L99" s="16" t="s">
        <v>17</v>
      </c>
      <c r="M99" s="16" t="s">
        <v>16</v>
      </c>
      <c r="N99" s="16" t="s">
        <v>15</v>
      </c>
      <c r="O99" s="15" cm="1">
        <f t="array" ref="O99">SUMPRODUCT(_xlfn.XLOOKUP(G99:N99, $X$2:$X$6, $Y$2:$Y$6,0), $G$4:$N$4) / SUM($G$4:$N$4)</f>
        <v>2.9545454545454546</v>
      </c>
      <c r="P99" s="1" t="s">
        <v>17</v>
      </c>
      <c r="Q99" s="1" t="s">
        <v>17</v>
      </c>
      <c r="R99" s="1" t="s">
        <v>15</v>
      </c>
      <c r="S99" s="1" t="s">
        <v>17</v>
      </c>
      <c r="T99" s="1" t="s">
        <v>17</v>
      </c>
      <c r="U99" s="15" cm="1">
        <f t="array" ref="U99">SUMPRODUCT(_xlfn.XLOOKUP(P99:T99, $X$2:$X$6, $Y$2:$Y$6, 0), $P$4:$T$4) / SUM($P$4:$T$4)</f>
        <v>2.4</v>
      </c>
    </row>
    <row r="100" spans="1:21">
      <c r="A100" s="1">
        <v>2100557023</v>
      </c>
      <c r="B100" s="1" t="s">
        <v>215</v>
      </c>
      <c r="C100" s="1" t="s">
        <v>216</v>
      </c>
      <c r="D100" s="15" cm="1">
        <f t="array" ref="D100">(SUMPRODUCT(_xlfn.XLOOKUP(TRIM(G100:N100), $X$2:$X$6, $Y$2:$Y$6, 0), $G$4:$N$4) + SUMPRODUCT(_xlfn.XLOOKUP(TRIM(P100:T100), $X$2:$X$6, $Y$2:$Y$6, 0), $P$4:$T$4)) / SUM($G$4:$N$4, $P$4:$T$4)</f>
        <v>3.1216216216216215</v>
      </c>
      <c r="E100" s="1" t="s">
        <v>301</v>
      </c>
      <c r="G100" s="16" t="s">
        <v>17</v>
      </c>
      <c r="H100" s="16" t="s">
        <v>16</v>
      </c>
      <c r="I100" s="16" t="s">
        <v>15</v>
      </c>
      <c r="J100" s="16" t="s">
        <v>16</v>
      </c>
      <c r="K100" s="16" t="s">
        <v>14</v>
      </c>
      <c r="L100" s="16" t="s">
        <v>16</v>
      </c>
      <c r="M100" s="16" t="s">
        <v>14</v>
      </c>
      <c r="N100" s="16" t="s">
        <v>15</v>
      </c>
      <c r="O100" s="15" cm="1">
        <f t="array" ref="O100">SUMPRODUCT(_xlfn.XLOOKUP(G100:N100, $X$2:$X$6, $Y$2:$Y$6,0), $G$4:$N$4) / SUM($G$4:$N$4)</f>
        <v>3.2272727272727271</v>
      </c>
      <c r="P100" s="1" t="s">
        <v>15</v>
      </c>
      <c r="Q100" s="1" t="s">
        <v>16</v>
      </c>
      <c r="R100" s="1" t="s">
        <v>17</v>
      </c>
      <c r="S100" s="1" t="s">
        <v>16</v>
      </c>
      <c r="T100" s="1" t="s">
        <v>14</v>
      </c>
      <c r="U100" s="15" cm="1">
        <f t="array" ref="U100">SUMPRODUCT(_xlfn.XLOOKUP(P100:T100, $X$2:$X$6, $Y$2:$Y$6, 0), $P$4:$T$4) / SUM($P$4:$T$4)</f>
        <v>2.9666666666666668</v>
      </c>
    </row>
    <row r="101" spans="1:21">
      <c r="A101" s="1">
        <v>1101848223</v>
      </c>
      <c r="B101" s="1" t="s">
        <v>217</v>
      </c>
      <c r="C101" s="1" t="s">
        <v>218</v>
      </c>
      <c r="D101" s="15" cm="1">
        <f t="array" ref="D101">(SUMPRODUCT(_xlfn.XLOOKUP(TRIM(G101:N101), $X$2:$X$6, $Y$2:$Y$6, 0), $G$4:$N$4) + SUMPRODUCT(_xlfn.XLOOKUP(TRIM(P101:T101), $X$2:$X$6, $Y$2:$Y$6, 0), $P$4:$T$4)) / SUM($G$4:$N$4, $P$4:$T$4)</f>
        <v>3.3918918918918921</v>
      </c>
      <c r="E101" s="1" t="s">
        <v>301</v>
      </c>
      <c r="G101" s="16" t="s">
        <v>17</v>
      </c>
      <c r="H101" s="16" t="s">
        <v>14</v>
      </c>
      <c r="I101" s="16" t="s">
        <v>15</v>
      </c>
      <c r="J101" s="16" t="s">
        <v>15</v>
      </c>
      <c r="K101" s="16" t="s">
        <v>15</v>
      </c>
      <c r="L101" s="16" t="s">
        <v>17</v>
      </c>
      <c r="M101" s="16" t="s">
        <v>14</v>
      </c>
      <c r="N101" s="16" t="s">
        <v>15</v>
      </c>
      <c r="O101" s="15" cm="1">
        <f t="array" ref="O101">SUMPRODUCT(_xlfn.XLOOKUP(G101:N101, $X$2:$X$6, $Y$2:$Y$6,0), $G$4:$N$4) / SUM($G$4:$N$4)</f>
        <v>3.3636363636363638</v>
      </c>
      <c r="P101" s="1" t="s">
        <v>15</v>
      </c>
      <c r="Q101" s="1" t="s">
        <v>16</v>
      </c>
      <c r="R101" s="1" t="s">
        <v>16</v>
      </c>
      <c r="S101" s="1" t="s">
        <v>14</v>
      </c>
      <c r="T101" s="1" t="s">
        <v>15</v>
      </c>
      <c r="U101" s="15" cm="1">
        <f t="array" ref="U101">SUMPRODUCT(_xlfn.XLOOKUP(P101:T101, $X$2:$X$6, $Y$2:$Y$6, 0), $P$4:$T$4) / SUM($P$4:$T$4)</f>
        <v>3.4333333333333331</v>
      </c>
    </row>
    <row r="102" spans="1:21">
      <c r="A102" s="1">
        <v>1100380423</v>
      </c>
      <c r="B102" s="1" t="s">
        <v>219</v>
      </c>
      <c r="C102" s="1" t="s">
        <v>220</v>
      </c>
      <c r="D102" s="15" cm="1">
        <f t="array" ref="D102">(SUMPRODUCT(_xlfn.XLOOKUP(TRIM(G102:N102), $X$2:$X$6, $Y$2:$Y$6, 0), $G$4:$N$4) + SUMPRODUCT(_xlfn.XLOOKUP(TRIM(P102:T102), $X$2:$X$6, $Y$2:$Y$6, 0), $P$4:$T$4)) / SUM($G$4:$N$4, $P$4:$T$4)</f>
        <v>3.2972972972972974</v>
      </c>
      <c r="E102" s="1" t="s">
        <v>301</v>
      </c>
      <c r="G102" s="16" t="s">
        <v>16</v>
      </c>
      <c r="H102" s="16" t="s">
        <v>16</v>
      </c>
      <c r="I102" s="16" t="s">
        <v>16</v>
      </c>
      <c r="J102" s="16" t="s">
        <v>15</v>
      </c>
      <c r="K102" s="16" t="s">
        <v>17</v>
      </c>
      <c r="L102" s="16" t="s">
        <v>16</v>
      </c>
      <c r="M102" s="16" t="s">
        <v>14</v>
      </c>
      <c r="N102" s="16" t="s">
        <v>17</v>
      </c>
      <c r="O102" s="15" cm="1">
        <f t="array" ref="O102">SUMPRODUCT(_xlfn.XLOOKUP(G102:N102, $X$2:$X$6, $Y$2:$Y$6,0), $G$4:$N$4) / SUM($G$4:$N$4)</f>
        <v>3</v>
      </c>
      <c r="P102" s="1" t="s">
        <v>14</v>
      </c>
      <c r="Q102" s="1" t="s">
        <v>17</v>
      </c>
      <c r="R102" s="1" t="s">
        <v>14</v>
      </c>
      <c r="S102" s="1" t="s">
        <v>14</v>
      </c>
      <c r="T102" s="1" t="s">
        <v>14</v>
      </c>
      <c r="U102" s="15" cm="1">
        <f t="array" ref="U102">SUMPRODUCT(_xlfn.XLOOKUP(P102:T102, $X$2:$X$6, $Y$2:$Y$6, 0), $P$4:$T$4) / SUM($P$4:$T$4)</f>
        <v>3.7333333333333334</v>
      </c>
    </row>
    <row r="103" spans="1:21">
      <c r="A103" s="1">
        <v>1103691723</v>
      </c>
      <c r="B103" s="1" t="s">
        <v>221</v>
      </c>
      <c r="C103" s="1" t="s">
        <v>222</v>
      </c>
      <c r="D103" s="15" cm="1">
        <f t="array" ref="D103">(SUMPRODUCT(_xlfn.XLOOKUP(TRIM(G103:N103), $X$2:$X$6, $Y$2:$Y$6, 0), $G$4:$N$4) + SUMPRODUCT(_xlfn.XLOOKUP(TRIM(P103:T103), $X$2:$X$6, $Y$2:$Y$6, 0), $P$4:$T$4)) / SUM($G$4:$N$4, $P$4:$T$4)</f>
        <v>3.2162162162162162</v>
      </c>
      <c r="E103" s="1" t="s">
        <v>301</v>
      </c>
      <c r="G103" s="16" t="s">
        <v>14</v>
      </c>
      <c r="H103" s="16" t="s">
        <v>15</v>
      </c>
      <c r="I103" s="16" t="s">
        <v>17</v>
      </c>
      <c r="J103" s="16" t="s">
        <v>15</v>
      </c>
      <c r="K103" s="16" t="s">
        <v>15</v>
      </c>
      <c r="L103" s="16" t="s">
        <v>14</v>
      </c>
      <c r="M103" s="16" t="s">
        <v>14</v>
      </c>
      <c r="N103" s="16" t="s">
        <v>17</v>
      </c>
      <c r="O103" s="15" cm="1">
        <f t="array" ref="O103">SUMPRODUCT(_xlfn.XLOOKUP(G103:N103, $X$2:$X$6, $Y$2:$Y$6,0), $G$4:$N$4) / SUM($G$4:$N$4)</f>
        <v>3.2272727272727271</v>
      </c>
      <c r="P103" s="1" t="s">
        <v>16</v>
      </c>
      <c r="Q103" s="1" t="s">
        <v>15</v>
      </c>
      <c r="R103" s="1" t="s">
        <v>16</v>
      </c>
      <c r="S103" s="1" t="s">
        <v>16</v>
      </c>
      <c r="T103" s="1" t="s">
        <v>14</v>
      </c>
      <c r="U103" s="15" cm="1">
        <f t="array" ref="U103">SUMPRODUCT(_xlfn.XLOOKUP(P103:T103, $X$2:$X$6, $Y$2:$Y$6, 0), $P$4:$T$4) / SUM($P$4:$T$4)</f>
        <v>3.2</v>
      </c>
    </row>
    <row r="104" spans="1:21">
      <c r="A104" s="1">
        <v>1100898323</v>
      </c>
      <c r="B104" s="1" t="s">
        <v>223</v>
      </c>
      <c r="C104" s="1" t="s">
        <v>224</v>
      </c>
      <c r="D104" s="15" cm="1">
        <f t="array" ref="D104">(SUMPRODUCT(_xlfn.XLOOKUP(TRIM(G104:N104), $X$2:$X$6, $Y$2:$Y$6, 0), $G$4:$N$4) + SUMPRODUCT(_xlfn.XLOOKUP(TRIM(P104:T104), $X$2:$X$6, $Y$2:$Y$6, 0), $P$4:$T$4)) / SUM($G$4:$N$4, $P$4:$T$4)</f>
        <v>3.2432432432432434</v>
      </c>
      <c r="E104" s="1" t="s">
        <v>301</v>
      </c>
      <c r="G104" s="16" t="s">
        <v>15</v>
      </c>
      <c r="H104" s="16" t="s">
        <v>15</v>
      </c>
      <c r="I104" s="16" t="s">
        <v>17</v>
      </c>
      <c r="J104" s="16" t="s">
        <v>16</v>
      </c>
      <c r="K104" s="16" t="s">
        <v>15</v>
      </c>
      <c r="L104" s="16" t="s">
        <v>15</v>
      </c>
      <c r="M104" s="16" t="s">
        <v>14</v>
      </c>
      <c r="N104" s="16" t="s">
        <v>16</v>
      </c>
      <c r="O104" s="15" cm="1">
        <f t="array" ref="O104">SUMPRODUCT(_xlfn.XLOOKUP(G104:N104, $X$2:$X$6, $Y$2:$Y$6,0), $G$4:$N$4) / SUM($G$4:$N$4)</f>
        <v>3.1363636363636362</v>
      </c>
      <c r="P104" s="1" t="s">
        <v>16</v>
      </c>
      <c r="Q104" s="1" t="s">
        <v>17</v>
      </c>
      <c r="R104" s="1" t="s">
        <v>14</v>
      </c>
      <c r="S104" s="1" t="s">
        <v>14</v>
      </c>
      <c r="T104" s="1" t="s">
        <v>16</v>
      </c>
      <c r="U104" s="15" cm="1">
        <f t="array" ref="U104">SUMPRODUCT(_xlfn.XLOOKUP(P104:T104, $X$2:$X$6, $Y$2:$Y$6, 0), $P$4:$T$4) / SUM($P$4:$T$4)</f>
        <v>3.4</v>
      </c>
    </row>
    <row r="105" spans="1:21">
      <c r="A105" s="1">
        <v>2101147823</v>
      </c>
      <c r="B105" s="1" t="s">
        <v>225</v>
      </c>
      <c r="C105" s="1" t="s">
        <v>226</v>
      </c>
      <c r="D105" s="15" cm="1">
        <f t="array" ref="D105">(SUMPRODUCT(_xlfn.XLOOKUP(TRIM(G105:N105), $X$2:$X$6, $Y$2:$Y$6, 0), $G$4:$N$4) + SUMPRODUCT(_xlfn.XLOOKUP(TRIM(P105:T105), $X$2:$X$6, $Y$2:$Y$6, 0), $P$4:$T$4)) / SUM($G$4:$N$4, $P$4:$T$4)</f>
        <v>2.8648648648648649</v>
      </c>
      <c r="E105" s="1" t="s">
        <v>301</v>
      </c>
      <c r="G105" s="16" t="s">
        <v>17</v>
      </c>
      <c r="H105" s="16" t="s">
        <v>16</v>
      </c>
      <c r="I105" s="16" t="s">
        <v>15</v>
      </c>
      <c r="J105" s="16" t="s">
        <v>15</v>
      </c>
      <c r="K105" s="16" t="s">
        <v>14</v>
      </c>
      <c r="L105" s="16" t="s">
        <v>14</v>
      </c>
      <c r="M105" s="16" t="s">
        <v>16</v>
      </c>
      <c r="N105" s="16" t="s">
        <v>14</v>
      </c>
      <c r="O105" s="15" cm="1">
        <f t="array" ref="O105">SUMPRODUCT(_xlfn.XLOOKUP(G105:N105, $X$2:$X$6, $Y$2:$Y$6,0), $G$4:$N$4) / SUM($G$4:$N$4)</f>
        <v>3.3636363636363638</v>
      </c>
      <c r="P105" s="1" t="s">
        <v>17</v>
      </c>
      <c r="Q105" s="1" t="s">
        <v>16</v>
      </c>
      <c r="R105" s="1" t="s">
        <v>17</v>
      </c>
      <c r="S105" s="1" t="s">
        <v>17</v>
      </c>
      <c r="T105" s="1" t="s">
        <v>17</v>
      </c>
      <c r="U105" s="15" cm="1">
        <f t="array" ref="U105">SUMPRODUCT(_xlfn.XLOOKUP(P105:T105, $X$2:$X$6, $Y$2:$Y$6, 0), $P$4:$T$4) / SUM($P$4:$T$4)</f>
        <v>2.1333333333333333</v>
      </c>
    </row>
    <row r="106" spans="1:21">
      <c r="A106" s="1">
        <v>1102386623</v>
      </c>
      <c r="B106" s="1" t="s">
        <v>227</v>
      </c>
      <c r="C106" s="1" t="s">
        <v>228</v>
      </c>
      <c r="D106" s="15" cm="1">
        <f t="array" ref="D106">(SUMPRODUCT(_xlfn.XLOOKUP(TRIM(G106:N106), $X$2:$X$6, $Y$2:$Y$6, 0), $G$4:$N$4) + SUMPRODUCT(_xlfn.XLOOKUP(TRIM(P106:T106), $X$2:$X$6, $Y$2:$Y$6, 0), $P$4:$T$4)) / SUM($G$4:$N$4, $P$4:$T$4)</f>
        <v>2.7027027027027026</v>
      </c>
      <c r="E106" s="1" t="s">
        <v>301</v>
      </c>
      <c r="G106" s="16" t="s">
        <v>15</v>
      </c>
      <c r="H106" s="16" t="s">
        <v>17</v>
      </c>
      <c r="I106" s="16" t="s">
        <v>17</v>
      </c>
      <c r="J106" s="16" t="s">
        <v>15</v>
      </c>
      <c r="K106" s="16" t="s">
        <v>15</v>
      </c>
      <c r="L106" s="16" t="s">
        <v>15</v>
      </c>
      <c r="M106" s="16" t="s">
        <v>16</v>
      </c>
      <c r="N106" s="16" t="s">
        <v>17</v>
      </c>
      <c r="O106" s="15" cm="1">
        <f t="array" ref="O106">SUMPRODUCT(_xlfn.XLOOKUP(G106:N106, $X$2:$X$6, $Y$2:$Y$6,0), $G$4:$N$4) / SUM($G$4:$N$4)</f>
        <v>2.7727272727272729</v>
      </c>
      <c r="P106" s="1" t="s">
        <v>16</v>
      </c>
      <c r="Q106" s="1" t="s">
        <v>17</v>
      </c>
      <c r="R106" s="1" t="s">
        <v>17</v>
      </c>
      <c r="S106" s="1" t="s">
        <v>15</v>
      </c>
      <c r="T106" s="1" t="s">
        <v>17</v>
      </c>
      <c r="U106" s="15" cm="1">
        <f t="array" ref="U106">SUMPRODUCT(_xlfn.XLOOKUP(P106:T106, $X$2:$X$6, $Y$2:$Y$6, 0), $P$4:$T$4) / SUM($P$4:$T$4)</f>
        <v>2.6</v>
      </c>
    </row>
    <row r="107" spans="1:21">
      <c r="A107" s="1">
        <v>1102378323</v>
      </c>
      <c r="B107" s="1" t="s">
        <v>229</v>
      </c>
      <c r="C107" s="1" t="s">
        <v>230</v>
      </c>
      <c r="D107" s="15" cm="1">
        <f t="array" ref="D107">(SUMPRODUCT(_xlfn.XLOOKUP(TRIM(G107:N107), $X$2:$X$6, $Y$2:$Y$6, 0), $G$4:$N$4) + SUMPRODUCT(_xlfn.XLOOKUP(TRIM(P107:T107), $X$2:$X$6, $Y$2:$Y$6, 0), $P$4:$T$4)) / SUM($G$4:$N$4, $P$4:$T$4)</f>
        <v>3.1351351351351351</v>
      </c>
      <c r="E107" s="1" t="s">
        <v>301</v>
      </c>
      <c r="G107" s="16" t="s">
        <v>14</v>
      </c>
      <c r="H107" s="16" t="s">
        <v>17</v>
      </c>
      <c r="I107" s="16" t="s">
        <v>16</v>
      </c>
      <c r="J107" s="16" t="s">
        <v>15</v>
      </c>
      <c r="K107" s="16" t="s">
        <v>14</v>
      </c>
      <c r="L107" s="16" t="s">
        <v>15</v>
      </c>
      <c r="M107" s="16" t="s">
        <v>14</v>
      </c>
      <c r="N107" s="16" t="s">
        <v>14</v>
      </c>
      <c r="O107" s="15" cm="1">
        <f t="array" ref="O107">SUMPRODUCT(_xlfn.XLOOKUP(G107:N107, $X$2:$X$6, $Y$2:$Y$6,0), $G$4:$N$4) / SUM($G$4:$N$4)</f>
        <v>3.3181818181818183</v>
      </c>
      <c r="P107" s="1" t="s">
        <v>17</v>
      </c>
      <c r="Q107" s="1" t="s">
        <v>15</v>
      </c>
      <c r="R107" s="1" t="s">
        <v>17</v>
      </c>
      <c r="S107" s="1" t="s">
        <v>14</v>
      </c>
      <c r="T107" s="1" t="s">
        <v>16</v>
      </c>
      <c r="U107" s="15" cm="1">
        <f t="array" ref="U107">SUMPRODUCT(_xlfn.XLOOKUP(P107:T107, $X$2:$X$6, $Y$2:$Y$6, 0), $P$4:$T$4) / SUM($P$4:$T$4)</f>
        <v>2.8666666666666667</v>
      </c>
    </row>
    <row r="108" spans="1:21">
      <c r="A108" s="1">
        <v>2100854623</v>
      </c>
      <c r="B108" s="1" t="s">
        <v>231</v>
      </c>
      <c r="C108" s="1" t="s">
        <v>232</v>
      </c>
      <c r="D108" s="15" cm="1">
        <f t="array" ref="D108">(SUMPRODUCT(_xlfn.XLOOKUP(TRIM(G108:N108), $X$2:$X$6, $Y$2:$Y$6, 0), $G$4:$N$4) + SUMPRODUCT(_xlfn.XLOOKUP(TRIM(P108:T108), $X$2:$X$6, $Y$2:$Y$6, 0), $P$4:$T$4)) / SUM($G$4:$N$4, $P$4:$T$4)</f>
        <v>2.9729729729729728</v>
      </c>
      <c r="E108" s="1" t="s">
        <v>301</v>
      </c>
      <c r="G108" s="16" t="s">
        <v>17</v>
      </c>
      <c r="H108" s="16" t="s">
        <v>17</v>
      </c>
      <c r="I108" s="16" t="s">
        <v>15</v>
      </c>
      <c r="J108" s="16" t="s">
        <v>14</v>
      </c>
      <c r="K108" s="16" t="s">
        <v>16</v>
      </c>
      <c r="L108" s="16" t="s">
        <v>14</v>
      </c>
      <c r="M108" s="16" t="s">
        <v>16</v>
      </c>
      <c r="N108" s="16" t="s">
        <v>14</v>
      </c>
      <c r="O108" s="15" cm="1">
        <f t="array" ref="O108">SUMPRODUCT(_xlfn.XLOOKUP(G108:N108, $X$2:$X$6, $Y$2:$Y$6,0), $G$4:$N$4) / SUM($G$4:$N$4)</f>
        <v>3.1818181818181817</v>
      </c>
      <c r="P108" s="1" t="s">
        <v>16</v>
      </c>
      <c r="Q108" s="1" t="s">
        <v>15</v>
      </c>
      <c r="R108" s="1" t="s">
        <v>16</v>
      </c>
      <c r="S108" s="1" t="s">
        <v>17</v>
      </c>
      <c r="T108" s="1" t="s">
        <v>17</v>
      </c>
      <c r="U108" s="15" cm="1">
        <f t="array" ref="U108">SUMPRODUCT(_xlfn.XLOOKUP(P108:T108, $X$2:$X$6, $Y$2:$Y$6, 0), $P$4:$T$4) / SUM($P$4:$T$4)</f>
        <v>2.6666666666666665</v>
      </c>
    </row>
    <row r="109" spans="1:21">
      <c r="A109" s="1">
        <v>1104570923</v>
      </c>
      <c r="B109" s="1" t="s">
        <v>233</v>
      </c>
      <c r="C109" s="1" t="s">
        <v>234</v>
      </c>
      <c r="D109" s="15" cm="1">
        <f t="array" ref="D109">(SUMPRODUCT(_xlfn.XLOOKUP(TRIM(G109:N109), $X$2:$X$6, $Y$2:$Y$6, 0), $G$4:$N$4) + SUMPRODUCT(_xlfn.XLOOKUP(TRIM(P109:T109), $X$2:$X$6, $Y$2:$Y$6, 0), $P$4:$T$4)) / SUM($G$4:$N$4, $P$4:$T$4)</f>
        <v>2.9459459459459461</v>
      </c>
      <c r="E109" s="1" t="s">
        <v>301</v>
      </c>
      <c r="G109" s="16" t="s">
        <v>14</v>
      </c>
      <c r="H109" s="16" t="s">
        <v>14</v>
      </c>
      <c r="I109" s="16" t="s">
        <v>17</v>
      </c>
      <c r="J109" s="16" t="s">
        <v>14</v>
      </c>
      <c r="K109" s="16" t="s">
        <v>14</v>
      </c>
      <c r="L109" s="16" t="s">
        <v>17</v>
      </c>
      <c r="M109" s="16" t="s">
        <v>16</v>
      </c>
      <c r="N109" s="16" t="s">
        <v>15</v>
      </c>
      <c r="O109" s="15" cm="1">
        <f t="array" ref="O109">SUMPRODUCT(_xlfn.XLOOKUP(G109:N109, $X$2:$X$6, $Y$2:$Y$6,0), $G$4:$N$4) / SUM($G$4:$N$4)</f>
        <v>3.3181818181818183</v>
      </c>
      <c r="P109" s="1" t="s">
        <v>17</v>
      </c>
      <c r="Q109" s="1" t="s">
        <v>14</v>
      </c>
      <c r="R109" s="1" t="s">
        <v>17</v>
      </c>
      <c r="S109" s="1" t="s">
        <v>17</v>
      </c>
      <c r="T109" s="1" t="s">
        <v>16</v>
      </c>
      <c r="U109" s="15" cm="1">
        <f t="array" ref="U109">SUMPRODUCT(_xlfn.XLOOKUP(P109:T109, $X$2:$X$6, $Y$2:$Y$6, 0), $P$4:$T$4) / SUM($P$4:$T$4)</f>
        <v>2.4</v>
      </c>
    </row>
    <row r="110" spans="1:21">
      <c r="A110" s="1">
        <v>2100687023</v>
      </c>
      <c r="B110" s="1" t="s">
        <v>235</v>
      </c>
      <c r="C110" s="1" t="s">
        <v>310</v>
      </c>
      <c r="D110" s="15" cm="1">
        <f t="array" ref="D110">(SUMPRODUCT(_xlfn.XLOOKUP(TRIM(G110:N110), $X$2:$X$6, $Y$2:$Y$6, 0), $G$4:$N$4) + SUMPRODUCT(_xlfn.XLOOKUP(TRIM(P110:T110), $X$2:$X$6, $Y$2:$Y$6, 0), $P$4:$T$4)) / SUM($G$4:$N$4, $P$4:$T$4)</f>
        <v>4</v>
      </c>
      <c r="E110" s="1" t="s">
        <v>301</v>
      </c>
      <c r="G110" s="16" t="s">
        <v>14</v>
      </c>
      <c r="H110" s="16" t="s">
        <v>14</v>
      </c>
      <c r="I110" s="16" t="s">
        <v>14</v>
      </c>
      <c r="J110" s="16" t="s">
        <v>14</v>
      </c>
      <c r="K110" s="16" t="s">
        <v>14</v>
      </c>
      <c r="L110" s="16" t="s">
        <v>14</v>
      </c>
      <c r="M110" s="16" t="s">
        <v>14</v>
      </c>
      <c r="N110" s="16" t="s">
        <v>14</v>
      </c>
      <c r="O110" s="15" cm="1">
        <f t="array" ref="O110">SUMPRODUCT(_xlfn.XLOOKUP(G110:N110, $X$2:$X$6, $Y$2:$Y$6,0), $G$4:$N$4) / SUM($G$4:$N$4)</f>
        <v>4</v>
      </c>
      <c r="P110" s="1" t="s">
        <v>14</v>
      </c>
      <c r="Q110" s="1" t="s">
        <v>14</v>
      </c>
      <c r="R110" s="1" t="s">
        <v>14</v>
      </c>
      <c r="S110" s="1" t="s">
        <v>14</v>
      </c>
      <c r="T110" s="1" t="s">
        <v>14</v>
      </c>
      <c r="U110" s="15" cm="1">
        <f t="array" ref="U110">SUMPRODUCT(_xlfn.XLOOKUP(P110:T110, $X$2:$X$6, $Y$2:$Y$6, 0), $P$4:$T$4) / SUM($P$4:$T$4)</f>
        <v>4</v>
      </c>
    </row>
    <row r="111" spans="1:21">
      <c r="A111" s="1">
        <v>2200070823</v>
      </c>
      <c r="B111" s="1" t="s">
        <v>236</v>
      </c>
      <c r="C111" s="1" t="s">
        <v>237</v>
      </c>
      <c r="D111" s="15" cm="1">
        <f t="array" ref="D111">(SUMPRODUCT(_xlfn.XLOOKUP(TRIM(G111:N111), $X$2:$X$6, $Y$2:$Y$6, 0), $G$4:$N$4) + SUMPRODUCT(_xlfn.XLOOKUP(TRIM(P111:T111), $X$2:$X$6, $Y$2:$Y$6, 0), $P$4:$T$4)) / SUM($G$4:$N$4, $P$4:$T$4)</f>
        <v>2.7027027027027026</v>
      </c>
      <c r="E111" s="1" t="s">
        <v>301</v>
      </c>
      <c r="G111" s="16" t="s">
        <v>15</v>
      </c>
      <c r="H111" s="16" t="s">
        <v>15</v>
      </c>
      <c r="I111" s="16" t="s">
        <v>16</v>
      </c>
      <c r="J111" s="16" t="s">
        <v>17</v>
      </c>
      <c r="K111" s="16" t="s">
        <v>17</v>
      </c>
      <c r="L111" s="16" t="s">
        <v>16</v>
      </c>
      <c r="M111" s="16" t="s">
        <v>16</v>
      </c>
      <c r="N111" s="16" t="s">
        <v>17</v>
      </c>
      <c r="O111" s="15" cm="1">
        <f t="array" ref="O111">SUMPRODUCT(_xlfn.XLOOKUP(G111:N111, $X$2:$X$6, $Y$2:$Y$6,0), $G$4:$N$4) / SUM($G$4:$N$4)</f>
        <v>2.7727272727272729</v>
      </c>
      <c r="P111" s="1" t="s">
        <v>14</v>
      </c>
      <c r="Q111" s="1" t="s">
        <v>15</v>
      </c>
      <c r="R111" s="1" t="s">
        <v>17</v>
      </c>
      <c r="S111" s="1" t="s">
        <v>17</v>
      </c>
      <c r="T111" s="1" t="s">
        <v>17</v>
      </c>
      <c r="U111" s="15" cm="1">
        <f t="array" ref="U111">SUMPRODUCT(_xlfn.XLOOKUP(P111:T111, $X$2:$X$6, $Y$2:$Y$6, 0), $P$4:$T$4) / SUM($P$4:$T$4)</f>
        <v>2.6</v>
      </c>
    </row>
    <row r="112" spans="1:21">
      <c r="A112" s="1">
        <v>1104483023</v>
      </c>
      <c r="B112" s="1" t="s">
        <v>238</v>
      </c>
      <c r="C112" s="1" t="s">
        <v>239</v>
      </c>
      <c r="D112" s="15" cm="1">
        <f t="array" ref="D112">(SUMPRODUCT(_xlfn.XLOOKUP(TRIM(G112:N112), $X$2:$X$6, $Y$2:$Y$6, 0), $G$4:$N$4) + SUMPRODUCT(_xlfn.XLOOKUP(TRIM(P112:T112), $X$2:$X$6, $Y$2:$Y$6, 0), $P$4:$T$4)) / SUM($G$4:$N$4, $P$4:$T$4)</f>
        <v>3.0270270270270272</v>
      </c>
      <c r="E112" s="1" t="s">
        <v>301</v>
      </c>
      <c r="G112" s="16" t="s">
        <v>16</v>
      </c>
      <c r="H112" s="16" t="s">
        <v>14</v>
      </c>
      <c r="I112" s="16" t="s">
        <v>17</v>
      </c>
      <c r="J112" s="16" t="s">
        <v>17</v>
      </c>
      <c r="K112" s="16" t="s">
        <v>16</v>
      </c>
      <c r="L112" s="16" t="s">
        <v>15</v>
      </c>
      <c r="M112" s="16" t="s">
        <v>16</v>
      </c>
      <c r="N112" s="16" t="s">
        <v>14</v>
      </c>
      <c r="O112" s="15" cm="1">
        <f t="array" ref="O112">SUMPRODUCT(_xlfn.XLOOKUP(G112:N112, $X$2:$X$6, $Y$2:$Y$6,0), $G$4:$N$4) / SUM($G$4:$N$4)</f>
        <v>2.9545454545454546</v>
      </c>
      <c r="P112" s="1" t="s">
        <v>16</v>
      </c>
      <c r="Q112" s="1" t="s">
        <v>14</v>
      </c>
      <c r="R112" s="1" t="s">
        <v>17</v>
      </c>
      <c r="S112" s="1" t="s">
        <v>14</v>
      </c>
      <c r="T112" s="1" t="s">
        <v>16</v>
      </c>
      <c r="U112" s="15" cm="1">
        <f t="array" ref="U112">SUMPRODUCT(_xlfn.XLOOKUP(P112:T112, $X$2:$X$6, $Y$2:$Y$6, 0), $P$4:$T$4) / SUM($P$4:$T$4)</f>
        <v>3.1333333333333333</v>
      </c>
    </row>
    <row r="113" spans="1:21">
      <c r="A113" s="1">
        <v>2100549723</v>
      </c>
      <c r="B113" s="1" t="s">
        <v>240</v>
      </c>
      <c r="C113" s="1" t="s">
        <v>241</v>
      </c>
      <c r="D113" s="15" cm="1">
        <f t="array" ref="D113">(SUMPRODUCT(_xlfn.XLOOKUP(TRIM(G113:N113), $X$2:$X$6, $Y$2:$Y$6, 0), $G$4:$N$4) + SUMPRODUCT(_xlfn.XLOOKUP(TRIM(P113:T113), $X$2:$X$6, $Y$2:$Y$6, 0), $P$4:$T$4)) / SUM($G$4:$N$4, $P$4:$T$4)</f>
        <v>3.2432432432432434</v>
      </c>
      <c r="E113" s="1" t="s">
        <v>301</v>
      </c>
      <c r="G113" s="16" t="s">
        <v>14</v>
      </c>
      <c r="H113" s="16" t="s">
        <v>16</v>
      </c>
      <c r="I113" s="16" t="s">
        <v>14</v>
      </c>
      <c r="J113" s="16" t="s">
        <v>17</v>
      </c>
      <c r="K113" s="16" t="s">
        <v>14</v>
      </c>
      <c r="L113" s="16" t="s">
        <v>14</v>
      </c>
      <c r="M113" s="16" t="s">
        <v>15</v>
      </c>
      <c r="N113" s="16" t="s">
        <v>15</v>
      </c>
      <c r="O113" s="15" cm="1">
        <f t="array" ref="O113">SUMPRODUCT(_xlfn.XLOOKUP(G113:N113, $X$2:$X$6, $Y$2:$Y$6,0), $G$4:$N$4) / SUM($G$4:$N$4)</f>
        <v>3.3636363636363638</v>
      </c>
      <c r="P113" s="1" t="s">
        <v>16</v>
      </c>
      <c r="Q113" s="1" t="s">
        <v>14</v>
      </c>
      <c r="R113" s="1" t="s">
        <v>15</v>
      </c>
      <c r="S113" s="1" t="s">
        <v>17</v>
      </c>
      <c r="T113" s="1" t="s">
        <v>15</v>
      </c>
      <c r="U113" s="15" cm="1">
        <f t="array" ref="U113">SUMPRODUCT(_xlfn.XLOOKUP(P113:T113, $X$2:$X$6, $Y$2:$Y$6, 0), $P$4:$T$4) / SUM($P$4:$T$4)</f>
        <v>3.0666666666666669</v>
      </c>
    </row>
    <row r="114" spans="1:21">
      <c r="A114" s="1">
        <v>2100046123</v>
      </c>
      <c r="B114" s="1" t="s">
        <v>242</v>
      </c>
      <c r="C114" s="1" t="s">
        <v>243</v>
      </c>
      <c r="D114" s="15" cm="1">
        <f t="array" ref="D114">(SUMPRODUCT(_xlfn.XLOOKUP(TRIM(G114:N114), $X$2:$X$6, $Y$2:$Y$6, 0), $G$4:$N$4) + SUMPRODUCT(_xlfn.XLOOKUP(TRIM(P114:T114), $X$2:$X$6, $Y$2:$Y$6, 0), $P$4:$T$4)) / SUM($G$4:$N$4, $P$4:$T$4)</f>
        <v>3.0540540540540539</v>
      </c>
      <c r="E114" s="1" t="s">
        <v>301</v>
      </c>
      <c r="G114" s="16" t="s">
        <v>16</v>
      </c>
      <c r="H114" s="16" t="s">
        <v>15</v>
      </c>
      <c r="I114" s="16" t="s">
        <v>17</v>
      </c>
      <c r="J114" s="16" t="s">
        <v>17</v>
      </c>
      <c r="K114" s="16" t="s">
        <v>15</v>
      </c>
      <c r="L114" s="16" t="s">
        <v>14</v>
      </c>
      <c r="M114" s="16" t="s">
        <v>16</v>
      </c>
      <c r="N114" s="16" t="s">
        <v>14</v>
      </c>
      <c r="O114" s="15" cm="1">
        <f t="array" ref="O114">SUMPRODUCT(_xlfn.XLOOKUP(G114:N114, $X$2:$X$6, $Y$2:$Y$6,0), $G$4:$N$4) / SUM($G$4:$N$4)</f>
        <v>2.9545454545454546</v>
      </c>
      <c r="P114" s="1" t="s">
        <v>17</v>
      </c>
      <c r="Q114" s="1" t="s">
        <v>14</v>
      </c>
      <c r="R114" s="1" t="s">
        <v>14</v>
      </c>
      <c r="S114" s="1" t="s">
        <v>16</v>
      </c>
      <c r="T114" s="1" t="s">
        <v>16</v>
      </c>
      <c r="U114" s="15" cm="1">
        <f t="array" ref="U114">SUMPRODUCT(_xlfn.XLOOKUP(P114:T114, $X$2:$X$6, $Y$2:$Y$6, 0), $P$4:$T$4) / SUM($P$4:$T$4)</f>
        <v>3.2</v>
      </c>
    </row>
    <row r="115" spans="1:21">
      <c r="A115" s="1">
        <v>2100610923</v>
      </c>
      <c r="B115" s="1" t="s">
        <v>244</v>
      </c>
      <c r="C115" s="1" t="s">
        <v>245</v>
      </c>
      <c r="D115" s="15" cm="1">
        <f t="array" ref="D115">(SUMPRODUCT(_xlfn.XLOOKUP(TRIM(G115:N115), $X$2:$X$6, $Y$2:$Y$6, 0), $G$4:$N$4) + SUMPRODUCT(_xlfn.XLOOKUP(TRIM(P115:T115), $X$2:$X$6, $Y$2:$Y$6, 0), $P$4:$T$4)) / SUM($G$4:$N$4, $P$4:$T$4)</f>
        <v>3.189189189189189</v>
      </c>
      <c r="E115" s="1" t="s">
        <v>301</v>
      </c>
      <c r="G115" s="16" t="s">
        <v>17</v>
      </c>
      <c r="H115" s="16" t="s">
        <v>16</v>
      </c>
      <c r="I115" s="16" t="s">
        <v>16</v>
      </c>
      <c r="J115" s="16" t="s">
        <v>14</v>
      </c>
      <c r="K115" s="16" t="s">
        <v>14</v>
      </c>
      <c r="L115" s="16" t="s">
        <v>17</v>
      </c>
      <c r="M115" s="16" t="s">
        <v>14</v>
      </c>
      <c r="N115" s="16" t="s">
        <v>17</v>
      </c>
      <c r="O115" s="15" cm="1">
        <f t="array" ref="O115">SUMPRODUCT(_xlfn.XLOOKUP(G115:N115, $X$2:$X$6, $Y$2:$Y$6,0), $G$4:$N$4) / SUM($G$4:$N$4)</f>
        <v>3.0909090909090908</v>
      </c>
      <c r="P115" s="1" t="s">
        <v>14</v>
      </c>
      <c r="Q115" s="1" t="s">
        <v>14</v>
      </c>
      <c r="R115" s="1" t="s">
        <v>17</v>
      </c>
      <c r="S115" s="1" t="s">
        <v>14</v>
      </c>
      <c r="T115" s="1" t="s">
        <v>16</v>
      </c>
      <c r="U115" s="15" cm="1">
        <f t="array" ref="U115">SUMPRODUCT(_xlfn.XLOOKUP(P115:T115, $X$2:$X$6, $Y$2:$Y$6, 0), $P$4:$T$4) / SUM($P$4:$T$4)</f>
        <v>3.3333333333333335</v>
      </c>
    </row>
    <row r="116" spans="1:21">
      <c r="A116" s="1">
        <v>2100168423</v>
      </c>
      <c r="B116" s="1" t="s">
        <v>246</v>
      </c>
      <c r="C116" s="1" t="s">
        <v>247</v>
      </c>
      <c r="D116" s="15" cm="1">
        <f t="array" ref="D116">(SUMPRODUCT(_xlfn.XLOOKUP(TRIM(G116:N116), $X$2:$X$6, $Y$2:$Y$6, 0), $G$4:$N$4) + SUMPRODUCT(_xlfn.XLOOKUP(TRIM(P116:T116), $X$2:$X$6, $Y$2:$Y$6, 0), $P$4:$T$4)) / SUM($G$4:$N$4, $P$4:$T$4)</f>
        <v>3.0270270270270272</v>
      </c>
      <c r="E116" s="1" t="s">
        <v>301</v>
      </c>
      <c r="G116" s="16" t="s">
        <v>17</v>
      </c>
      <c r="H116" s="16" t="s">
        <v>17</v>
      </c>
      <c r="I116" s="16" t="s">
        <v>16</v>
      </c>
      <c r="J116" s="16" t="s">
        <v>14</v>
      </c>
      <c r="K116" s="16" t="s">
        <v>16</v>
      </c>
      <c r="L116" s="16" t="s">
        <v>17</v>
      </c>
      <c r="M116" s="16" t="s">
        <v>17</v>
      </c>
      <c r="N116" s="16" t="s">
        <v>14</v>
      </c>
      <c r="O116" s="15" cm="1">
        <f t="array" ref="O116">SUMPRODUCT(_xlfn.XLOOKUP(G116:N116, $X$2:$X$6, $Y$2:$Y$6,0), $G$4:$N$4) / SUM($G$4:$N$4)</f>
        <v>2.8181818181818183</v>
      </c>
      <c r="P116" s="1" t="s">
        <v>16</v>
      </c>
      <c r="Q116" s="1" t="s">
        <v>17</v>
      </c>
      <c r="R116" s="1" t="s">
        <v>15</v>
      </c>
      <c r="S116" s="1" t="s">
        <v>14</v>
      </c>
      <c r="T116" s="1" t="s">
        <v>15</v>
      </c>
      <c r="U116" s="15" cm="1">
        <f t="array" ref="U116">SUMPRODUCT(_xlfn.XLOOKUP(P116:T116, $X$2:$X$6, $Y$2:$Y$6, 0), $P$4:$T$4) / SUM($P$4:$T$4)</f>
        <v>3.3333333333333335</v>
      </c>
    </row>
    <row r="117" spans="1:21">
      <c r="A117" s="1">
        <v>2100575423</v>
      </c>
      <c r="B117" s="1" t="s">
        <v>248</v>
      </c>
      <c r="C117" s="1" t="s">
        <v>249</v>
      </c>
      <c r="D117" s="15" cm="1">
        <f t="array" ref="D117">(SUMPRODUCT(_xlfn.XLOOKUP(TRIM(G117:N117), $X$2:$X$6, $Y$2:$Y$6, 0), $G$4:$N$4) + SUMPRODUCT(_xlfn.XLOOKUP(TRIM(P117:T117), $X$2:$X$6, $Y$2:$Y$6, 0), $P$4:$T$4)) / SUM($G$4:$N$4, $P$4:$T$4)</f>
        <v>3.0540540540540539</v>
      </c>
      <c r="E117" s="1" t="s">
        <v>301</v>
      </c>
      <c r="G117" s="16" t="s">
        <v>15</v>
      </c>
      <c r="H117" s="16" t="s">
        <v>17</v>
      </c>
      <c r="I117" s="16" t="s">
        <v>15</v>
      </c>
      <c r="J117" s="16" t="s">
        <v>17</v>
      </c>
      <c r="K117" s="16" t="s">
        <v>15</v>
      </c>
      <c r="L117" s="16" t="s">
        <v>15</v>
      </c>
      <c r="M117" s="16" t="s">
        <v>15</v>
      </c>
      <c r="N117" s="16" t="s">
        <v>14</v>
      </c>
      <c r="O117" s="15" cm="1">
        <f t="array" ref="O117">SUMPRODUCT(_xlfn.XLOOKUP(G117:N117, $X$2:$X$6, $Y$2:$Y$6,0), $G$4:$N$4) / SUM($G$4:$N$4)</f>
        <v>3</v>
      </c>
      <c r="P117" s="1" t="s">
        <v>16</v>
      </c>
      <c r="Q117" s="1" t="s">
        <v>15</v>
      </c>
      <c r="R117" s="1" t="s">
        <v>14</v>
      </c>
      <c r="S117" s="1" t="s">
        <v>17</v>
      </c>
      <c r="T117" s="1" t="s">
        <v>15</v>
      </c>
      <c r="U117" s="15" cm="1">
        <f t="array" ref="U117">SUMPRODUCT(_xlfn.XLOOKUP(P117:T117, $X$2:$X$6, $Y$2:$Y$6, 0), $P$4:$T$4) / SUM($P$4:$T$4)</f>
        <v>3.1333333333333333</v>
      </c>
    </row>
    <row r="118" spans="1:21">
      <c r="A118" s="1">
        <v>2100102823</v>
      </c>
      <c r="B118" s="1" t="s">
        <v>250</v>
      </c>
      <c r="C118" s="1" t="s">
        <v>251</v>
      </c>
      <c r="D118" s="15" cm="1">
        <f t="array" ref="D118">(SUMPRODUCT(_xlfn.XLOOKUP(TRIM(G118:N118), $X$2:$X$6, $Y$2:$Y$6, 0), $G$4:$N$4) + SUMPRODUCT(_xlfn.XLOOKUP(TRIM(P118:T118), $X$2:$X$6, $Y$2:$Y$6, 0), $P$4:$T$4)) / SUM($G$4:$N$4, $P$4:$T$4)</f>
        <v>3.0675675675675675</v>
      </c>
      <c r="E118" s="1" t="s">
        <v>301</v>
      </c>
      <c r="G118" s="16" t="s">
        <v>17</v>
      </c>
      <c r="H118" s="16" t="s">
        <v>15</v>
      </c>
      <c r="I118" s="16" t="s">
        <v>16</v>
      </c>
      <c r="J118" s="16" t="s">
        <v>16</v>
      </c>
      <c r="K118" s="16" t="s">
        <v>17</v>
      </c>
      <c r="L118" s="16" t="s">
        <v>16</v>
      </c>
      <c r="M118" s="16" t="s">
        <v>14</v>
      </c>
      <c r="N118" s="16" t="s">
        <v>15</v>
      </c>
      <c r="O118" s="15" cm="1">
        <f t="array" ref="O118">SUMPRODUCT(_xlfn.XLOOKUP(G118:N118, $X$2:$X$6, $Y$2:$Y$6,0), $G$4:$N$4) / SUM($G$4:$N$4)</f>
        <v>3.0454545454545454</v>
      </c>
      <c r="P118" s="1" t="s">
        <v>15</v>
      </c>
      <c r="Q118" s="1" t="s">
        <v>17</v>
      </c>
      <c r="R118" s="1" t="s">
        <v>14</v>
      </c>
      <c r="S118" s="1" t="s">
        <v>16</v>
      </c>
      <c r="T118" s="1" t="s">
        <v>17</v>
      </c>
      <c r="U118" s="15" cm="1">
        <f t="array" ref="U118">SUMPRODUCT(_xlfn.XLOOKUP(P118:T118, $X$2:$X$6, $Y$2:$Y$6, 0), $P$4:$T$4) / SUM($P$4:$T$4)</f>
        <v>3.1</v>
      </c>
    </row>
    <row r="119" spans="1:21">
      <c r="A119" s="1">
        <v>2100116023</v>
      </c>
      <c r="B119" s="1" t="s">
        <v>252</v>
      </c>
      <c r="C119" s="1" t="s">
        <v>253</v>
      </c>
      <c r="D119" s="15" cm="1">
        <f t="array" ref="D119">(SUMPRODUCT(_xlfn.XLOOKUP(TRIM(G119:N119), $X$2:$X$6, $Y$2:$Y$6, 0), $G$4:$N$4) + SUMPRODUCT(_xlfn.XLOOKUP(TRIM(P119:T119), $X$2:$X$6, $Y$2:$Y$6, 0), $P$4:$T$4)) / SUM($G$4:$N$4, $P$4:$T$4)</f>
        <v>3.0540540540540539</v>
      </c>
      <c r="E119" s="1" t="s">
        <v>301</v>
      </c>
      <c r="G119" s="16" t="s">
        <v>15</v>
      </c>
      <c r="H119" s="16" t="s">
        <v>15</v>
      </c>
      <c r="I119" s="16" t="s">
        <v>17</v>
      </c>
      <c r="J119" s="16" t="s">
        <v>17</v>
      </c>
      <c r="K119" s="16" t="s">
        <v>17</v>
      </c>
      <c r="L119" s="16" t="s">
        <v>16</v>
      </c>
      <c r="M119" s="16" t="s">
        <v>16</v>
      </c>
      <c r="N119" s="16" t="s">
        <v>14</v>
      </c>
      <c r="O119" s="15" cm="1">
        <f t="array" ref="O119">SUMPRODUCT(_xlfn.XLOOKUP(G119:N119, $X$2:$X$6, $Y$2:$Y$6,0), $G$4:$N$4) / SUM($G$4:$N$4)</f>
        <v>2.7727272727272729</v>
      </c>
      <c r="P119" s="1" t="s">
        <v>14</v>
      </c>
      <c r="Q119" s="1" t="s">
        <v>14</v>
      </c>
      <c r="R119" s="1" t="s">
        <v>14</v>
      </c>
      <c r="S119" s="1" t="s">
        <v>17</v>
      </c>
      <c r="T119" s="1" t="s">
        <v>14</v>
      </c>
      <c r="U119" s="15" cm="1">
        <f t="array" ref="U119">SUMPRODUCT(_xlfn.XLOOKUP(P119:T119, $X$2:$X$6, $Y$2:$Y$6, 0), $P$4:$T$4) / SUM($P$4:$T$4)</f>
        <v>3.4666666666666668</v>
      </c>
    </row>
    <row r="120" spans="1:21">
      <c r="A120" s="1">
        <v>2100760223</v>
      </c>
      <c r="B120" s="1" t="s">
        <v>254</v>
      </c>
      <c r="C120" s="1" t="s">
        <v>255</v>
      </c>
      <c r="D120" s="15" cm="1">
        <f t="array" ref="D120">(SUMPRODUCT(_xlfn.XLOOKUP(TRIM(G120:N120), $X$2:$X$6, $Y$2:$Y$6, 0), $G$4:$N$4) + SUMPRODUCT(_xlfn.XLOOKUP(TRIM(P120:T120), $X$2:$X$6, $Y$2:$Y$6, 0), $P$4:$T$4)) / SUM($G$4:$N$4, $P$4:$T$4)</f>
        <v>3.2702702702702702</v>
      </c>
      <c r="E120" s="1" t="s">
        <v>301</v>
      </c>
      <c r="G120" s="16" t="s">
        <v>15</v>
      </c>
      <c r="H120" s="16" t="s">
        <v>16</v>
      </c>
      <c r="I120" s="16" t="s">
        <v>14</v>
      </c>
      <c r="J120" s="16" t="s">
        <v>14</v>
      </c>
      <c r="K120" s="16" t="s">
        <v>15</v>
      </c>
      <c r="L120" s="16" t="s">
        <v>17</v>
      </c>
      <c r="M120" s="16" t="s">
        <v>14</v>
      </c>
      <c r="N120" s="16" t="s">
        <v>15</v>
      </c>
      <c r="O120" s="15" cm="1">
        <f t="array" ref="O120">SUMPRODUCT(_xlfn.XLOOKUP(G120:N120, $X$2:$X$6, $Y$2:$Y$6,0), $G$4:$N$4) / SUM($G$4:$N$4)</f>
        <v>3.5</v>
      </c>
      <c r="P120" s="1" t="s">
        <v>14</v>
      </c>
      <c r="Q120" s="1" t="s">
        <v>14</v>
      </c>
      <c r="R120" s="1" t="s">
        <v>17</v>
      </c>
      <c r="S120" s="1" t="s">
        <v>16</v>
      </c>
      <c r="T120" s="1" t="s">
        <v>17</v>
      </c>
      <c r="U120" s="15" cm="1">
        <f t="array" ref="U120">SUMPRODUCT(_xlfn.XLOOKUP(P120:T120, $X$2:$X$6, $Y$2:$Y$6, 0), $P$4:$T$4) / SUM($P$4:$T$4)</f>
        <v>2.9333333333333331</v>
      </c>
    </row>
    <row r="121" spans="1:21">
      <c r="A121" s="1">
        <v>1100555923</v>
      </c>
      <c r="B121" s="1" t="s">
        <v>256</v>
      </c>
      <c r="C121" s="1" t="s">
        <v>257</v>
      </c>
      <c r="D121" s="15" cm="1">
        <f t="array" ref="D121">(SUMPRODUCT(_xlfn.XLOOKUP(TRIM(G121:N121), $X$2:$X$6, $Y$2:$Y$6, 0), $G$4:$N$4) + SUMPRODUCT(_xlfn.XLOOKUP(TRIM(P121:T121), $X$2:$X$6, $Y$2:$Y$6, 0), $P$4:$T$4)) / SUM($G$4:$N$4, $P$4:$T$4)</f>
        <v>2.8918918918918921</v>
      </c>
      <c r="E121" s="1" t="s">
        <v>301</v>
      </c>
      <c r="G121" s="16" t="s">
        <v>16</v>
      </c>
      <c r="H121" s="16" t="s">
        <v>16</v>
      </c>
      <c r="I121" s="16" t="s">
        <v>17</v>
      </c>
      <c r="J121" s="16" t="s">
        <v>17</v>
      </c>
      <c r="K121" s="16" t="s">
        <v>17</v>
      </c>
      <c r="L121" s="16" t="s">
        <v>15</v>
      </c>
      <c r="M121" s="16" t="s">
        <v>15</v>
      </c>
      <c r="N121" s="16" t="s">
        <v>16</v>
      </c>
      <c r="O121" s="15" cm="1">
        <f t="array" ref="O121">SUMPRODUCT(_xlfn.XLOOKUP(G121:N121, $X$2:$X$6, $Y$2:$Y$6,0), $G$4:$N$4) / SUM($G$4:$N$4)</f>
        <v>2.6363636363636362</v>
      </c>
      <c r="P121" s="1" t="s">
        <v>16</v>
      </c>
      <c r="Q121" s="1" t="s">
        <v>16</v>
      </c>
      <c r="R121" s="1" t="s">
        <v>16</v>
      </c>
      <c r="S121" s="1" t="s">
        <v>14</v>
      </c>
      <c r="T121" s="1" t="s">
        <v>16</v>
      </c>
      <c r="U121" s="15" cm="1">
        <f t="array" ref="U121">SUMPRODUCT(_xlfn.XLOOKUP(P121:T121, $X$2:$X$6, $Y$2:$Y$6, 0), $P$4:$T$4) / SUM($P$4:$T$4)</f>
        <v>3.2666666666666666</v>
      </c>
    </row>
    <row r="122" spans="1:21">
      <c r="A122" s="1">
        <v>2100106623</v>
      </c>
      <c r="B122" s="1" t="s">
        <v>258</v>
      </c>
      <c r="C122" s="1" t="s">
        <v>259</v>
      </c>
      <c r="D122" s="15" cm="1">
        <f t="array" ref="D122">(SUMPRODUCT(_xlfn.XLOOKUP(TRIM(G122:N122), $X$2:$X$6, $Y$2:$Y$6, 0), $G$4:$N$4) + SUMPRODUCT(_xlfn.XLOOKUP(TRIM(P122:T122), $X$2:$X$6, $Y$2:$Y$6, 0), $P$4:$T$4)) / SUM($G$4:$N$4, $P$4:$T$4)</f>
        <v>3.0540540540540539</v>
      </c>
      <c r="E122" s="1" t="s">
        <v>301</v>
      </c>
      <c r="G122" s="16" t="s">
        <v>16</v>
      </c>
      <c r="H122" s="16" t="s">
        <v>16</v>
      </c>
      <c r="I122" s="16" t="s">
        <v>15</v>
      </c>
      <c r="J122" s="16" t="s">
        <v>17</v>
      </c>
      <c r="K122" s="16" t="s">
        <v>16</v>
      </c>
      <c r="L122" s="16" t="s">
        <v>15</v>
      </c>
      <c r="M122" s="16" t="s">
        <v>15</v>
      </c>
      <c r="N122" s="16" t="s">
        <v>17</v>
      </c>
      <c r="O122" s="15" cm="1">
        <f t="array" ref="O122">SUMPRODUCT(_xlfn.XLOOKUP(G122:N122, $X$2:$X$6, $Y$2:$Y$6,0), $G$4:$N$4) / SUM($G$4:$N$4)</f>
        <v>2.9090909090909092</v>
      </c>
      <c r="P122" s="1" t="s">
        <v>17</v>
      </c>
      <c r="Q122" s="1" t="s">
        <v>14</v>
      </c>
      <c r="R122" s="1" t="s">
        <v>16</v>
      </c>
      <c r="S122" s="1" t="s">
        <v>14</v>
      </c>
      <c r="T122" s="1" t="s">
        <v>15</v>
      </c>
      <c r="U122" s="15" cm="1">
        <f t="array" ref="U122">SUMPRODUCT(_xlfn.XLOOKUP(P122:T122, $X$2:$X$6, $Y$2:$Y$6, 0), $P$4:$T$4) / SUM($P$4:$T$4)</f>
        <v>3.2666666666666666</v>
      </c>
    </row>
    <row r="123" spans="1:21">
      <c r="A123" s="1">
        <v>1103181623</v>
      </c>
      <c r="B123" s="1" t="s">
        <v>260</v>
      </c>
      <c r="C123" s="1" t="s">
        <v>261</v>
      </c>
      <c r="D123" s="15" cm="1">
        <f t="array" ref="D123">(SUMPRODUCT(_xlfn.XLOOKUP(TRIM(G123:N123), $X$2:$X$6, $Y$2:$Y$6, 0), $G$4:$N$4) + SUMPRODUCT(_xlfn.XLOOKUP(TRIM(P123:T123), $X$2:$X$6, $Y$2:$Y$6, 0), $P$4:$T$4)) / SUM($G$4:$N$4, $P$4:$T$4)</f>
        <v>3.0270270270270272</v>
      </c>
      <c r="E123" s="1" t="s">
        <v>301</v>
      </c>
      <c r="G123" s="16" t="s">
        <v>15</v>
      </c>
      <c r="H123" s="16" t="s">
        <v>17</v>
      </c>
      <c r="I123" s="16" t="s">
        <v>15</v>
      </c>
      <c r="J123" s="16" t="s">
        <v>14</v>
      </c>
      <c r="K123" s="16" t="s">
        <v>15</v>
      </c>
      <c r="L123" s="16" t="s">
        <v>17</v>
      </c>
      <c r="M123" s="16" t="s">
        <v>17</v>
      </c>
      <c r="N123" s="16" t="s">
        <v>14</v>
      </c>
      <c r="O123" s="15" cm="1">
        <f t="array" ref="O123">SUMPRODUCT(_xlfn.XLOOKUP(G123:N123, $X$2:$X$6, $Y$2:$Y$6,0), $G$4:$N$4) / SUM($G$4:$N$4)</f>
        <v>3.0909090909090908</v>
      </c>
      <c r="P123" s="1" t="s">
        <v>17</v>
      </c>
      <c r="Q123" s="1" t="s">
        <v>16</v>
      </c>
      <c r="R123" s="1" t="s">
        <v>14</v>
      </c>
      <c r="S123" s="1" t="s">
        <v>16</v>
      </c>
      <c r="T123" s="1" t="s">
        <v>17</v>
      </c>
      <c r="U123" s="15" cm="1">
        <f t="array" ref="U123">SUMPRODUCT(_xlfn.XLOOKUP(P123:T123, $X$2:$X$6, $Y$2:$Y$6, 0), $P$4:$T$4) / SUM($P$4:$T$4)</f>
        <v>2.9333333333333331</v>
      </c>
    </row>
    <row r="124" spans="1:21">
      <c r="A124" s="1">
        <v>2101082423</v>
      </c>
      <c r="B124" s="1" t="s">
        <v>262</v>
      </c>
      <c r="C124" s="1" t="s">
        <v>263</v>
      </c>
      <c r="D124" s="15" cm="1">
        <f t="array" ref="D124">(SUMPRODUCT(_xlfn.XLOOKUP(TRIM(G124:N124), $X$2:$X$6, $Y$2:$Y$6, 0), $G$4:$N$4) + SUMPRODUCT(_xlfn.XLOOKUP(TRIM(P124:T124), $X$2:$X$6, $Y$2:$Y$6, 0), $P$4:$T$4)) / SUM($G$4:$N$4, $P$4:$T$4)</f>
        <v>3.4054054054054053</v>
      </c>
      <c r="E124" s="1" t="s">
        <v>301</v>
      </c>
      <c r="G124" s="16" t="s">
        <v>17</v>
      </c>
      <c r="H124" s="16" t="s">
        <v>14</v>
      </c>
      <c r="I124" s="16" t="s">
        <v>14</v>
      </c>
      <c r="J124" s="16" t="s">
        <v>16</v>
      </c>
      <c r="K124" s="16" t="s">
        <v>15</v>
      </c>
      <c r="L124" s="16" t="s">
        <v>16</v>
      </c>
      <c r="M124" s="16" t="s">
        <v>16</v>
      </c>
      <c r="N124" s="16" t="s">
        <v>14</v>
      </c>
      <c r="O124" s="15" cm="1">
        <f t="array" ref="O124">SUMPRODUCT(_xlfn.XLOOKUP(G124:N124, $X$2:$X$6, $Y$2:$Y$6,0), $G$4:$N$4) / SUM($G$4:$N$4)</f>
        <v>3.4090909090909092</v>
      </c>
      <c r="P124" s="1" t="s">
        <v>17</v>
      </c>
      <c r="Q124" s="1" t="s">
        <v>14</v>
      </c>
      <c r="R124" s="1" t="s">
        <v>15</v>
      </c>
      <c r="S124" s="1" t="s">
        <v>14</v>
      </c>
      <c r="T124" s="1" t="s">
        <v>15</v>
      </c>
      <c r="U124" s="15" cm="1">
        <f t="array" ref="U124">SUMPRODUCT(_xlfn.XLOOKUP(P124:T124, $X$2:$X$6, $Y$2:$Y$6, 0), $P$4:$T$4) / SUM($P$4:$T$4)</f>
        <v>3.4</v>
      </c>
    </row>
    <row r="125" spans="1:21">
      <c r="A125" s="1">
        <v>1100027023</v>
      </c>
      <c r="B125" s="1" t="s">
        <v>264</v>
      </c>
      <c r="C125" s="1" t="s">
        <v>265</v>
      </c>
      <c r="D125" s="15" cm="1">
        <f t="array" ref="D125">(SUMPRODUCT(_xlfn.XLOOKUP(TRIM(G125:N125), $X$2:$X$6, $Y$2:$Y$6, 0), $G$4:$N$4) + SUMPRODUCT(_xlfn.XLOOKUP(TRIM(P125:T125), $X$2:$X$6, $Y$2:$Y$6, 0), $P$4:$T$4)) / SUM($G$4:$N$4, $P$4:$T$4)</f>
        <v>3.0405405405405403</v>
      </c>
      <c r="E125" s="1" t="s">
        <v>301</v>
      </c>
      <c r="G125" s="16" t="s">
        <v>15</v>
      </c>
      <c r="H125" s="16" t="s">
        <v>14</v>
      </c>
      <c r="I125" s="16" t="s">
        <v>17</v>
      </c>
      <c r="J125" s="16" t="s">
        <v>17</v>
      </c>
      <c r="K125" s="16" t="s">
        <v>16</v>
      </c>
      <c r="L125" s="16" t="s">
        <v>17</v>
      </c>
      <c r="M125" s="16" t="s">
        <v>14</v>
      </c>
      <c r="N125" s="16" t="s">
        <v>15</v>
      </c>
      <c r="O125" s="15" cm="1">
        <f t="array" ref="O125">SUMPRODUCT(_xlfn.XLOOKUP(G125:N125, $X$2:$X$6, $Y$2:$Y$6,0), $G$4:$N$4) / SUM($G$4:$N$4)</f>
        <v>2.9090909090909092</v>
      </c>
      <c r="P125" s="1" t="s">
        <v>15</v>
      </c>
      <c r="Q125" s="1" t="s">
        <v>15</v>
      </c>
      <c r="R125" s="1" t="s">
        <v>16</v>
      </c>
      <c r="S125" s="1" t="s">
        <v>16</v>
      </c>
      <c r="T125" s="1" t="s">
        <v>15</v>
      </c>
      <c r="U125" s="15" cm="1">
        <f t="array" ref="U125">SUMPRODUCT(_xlfn.XLOOKUP(P125:T125, $X$2:$X$6, $Y$2:$Y$6, 0), $P$4:$T$4) / SUM($P$4:$T$4)</f>
        <v>3.2333333333333334</v>
      </c>
    </row>
    <row r="126" spans="1:21">
      <c r="A126" s="1">
        <v>1101205723</v>
      </c>
      <c r="B126" s="1" t="s">
        <v>266</v>
      </c>
      <c r="C126" s="1" t="s">
        <v>267</v>
      </c>
      <c r="D126" s="15" cm="1">
        <f t="array" ref="D126">(SUMPRODUCT(_xlfn.XLOOKUP(TRIM(G126:N126), $X$2:$X$6, $Y$2:$Y$6, 0), $G$4:$N$4) + SUMPRODUCT(_xlfn.XLOOKUP(TRIM(P126:T126), $X$2:$X$6, $Y$2:$Y$6, 0), $P$4:$T$4)) / SUM($G$4:$N$4, $P$4:$T$4)</f>
        <v>4</v>
      </c>
      <c r="E126" s="1" t="s">
        <v>301</v>
      </c>
      <c r="G126" s="16" t="s">
        <v>14</v>
      </c>
      <c r="H126" s="16" t="s">
        <v>14</v>
      </c>
      <c r="I126" s="16" t="s">
        <v>14</v>
      </c>
      <c r="J126" s="16" t="s">
        <v>14</v>
      </c>
      <c r="K126" s="16" t="s">
        <v>14</v>
      </c>
      <c r="L126" s="16" t="s">
        <v>14</v>
      </c>
      <c r="M126" s="16" t="s">
        <v>14</v>
      </c>
      <c r="N126" s="16" t="s">
        <v>14</v>
      </c>
      <c r="O126" s="15" cm="1">
        <f t="array" ref="O126">SUMPRODUCT(_xlfn.XLOOKUP(G126:N126, $X$2:$X$6, $Y$2:$Y$6,0), $G$4:$N$4) / SUM($G$4:$N$4)</f>
        <v>4</v>
      </c>
      <c r="P126" s="1" t="s">
        <v>14</v>
      </c>
      <c r="Q126" s="1" t="s">
        <v>14</v>
      </c>
      <c r="R126" s="1" t="s">
        <v>14</v>
      </c>
      <c r="S126" s="1" t="s">
        <v>14</v>
      </c>
      <c r="T126" s="1" t="s">
        <v>14</v>
      </c>
      <c r="U126" s="15" cm="1">
        <f t="array" ref="U126">SUMPRODUCT(_xlfn.XLOOKUP(P126:T126, $X$2:$X$6, $Y$2:$Y$6, 0), $P$4:$T$4) / SUM($P$4:$T$4)</f>
        <v>4</v>
      </c>
    </row>
    <row r="127" spans="1:21">
      <c r="A127" s="1">
        <v>1100615223</v>
      </c>
      <c r="B127" s="1" t="s">
        <v>268</v>
      </c>
      <c r="C127" s="1" t="s">
        <v>269</v>
      </c>
      <c r="D127" s="15" cm="1">
        <f t="array" ref="D127">(SUMPRODUCT(_xlfn.XLOOKUP(TRIM(G127:N127), $X$2:$X$6, $Y$2:$Y$6, 0), $G$4:$N$4) + SUMPRODUCT(_xlfn.XLOOKUP(TRIM(P127:T127), $X$2:$X$6, $Y$2:$Y$6, 0), $P$4:$T$4)) / SUM($G$4:$N$4, $P$4:$T$4)</f>
        <v>3</v>
      </c>
      <c r="E127" s="1" t="s">
        <v>301</v>
      </c>
      <c r="G127" s="16" t="s">
        <v>15</v>
      </c>
      <c r="H127" s="16" t="s">
        <v>14</v>
      </c>
      <c r="I127" s="16" t="s">
        <v>16</v>
      </c>
      <c r="J127" s="16" t="s">
        <v>16</v>
      </c>
      <c r="K127" s="16" t="s">
        <v>17</v>
      </c>
      <c r="L127" s="16" t="s">
        <v>15</v>
      </c>
      <c r="M127" s="16" t="s">
        <v>15</v>
      </c>
      <c r="N127" s="16" t="s">
        <v>17</v>
      </c>
      <c r="O127" s="15" cm="1">
        <f t="array" ref="O127">SUMPRODUCT(_xlfn.XLOOKUP(G127:N127, $X$2:$X$6, $Y$2:$Y$6,0), $G$4:$N$4) / SUM($G$4:$N$4)</f>
        <v>3.1363636363636362</v>
      </c>
      <c r="P127" s="1" t="s">
        <v>16</v>
      </c>
      <c r="Q127" s="1" t="s">
        <v>17</v>
      </c>
      <c r="R127" s="1" t="s">
        <v>17</v>
      </c>
      <c r="S127" s="1" t="s">
        <v>15</v>
      </c>
      <c r="T127" s="1" t="s">
        <v>15</v>
      </c>
      <c r="U127" s="15" cm="1">
        <f t="array" ref="U127">SUMPRODUCT(_xlfn.XLOOKUP(P127:T127, $X$2:$X$6, $Y$2:$Y$6, 0), $P$4:$T$4) / SUM($P$4:$T$4)</f>
        <v>2.8</v>
      </c>
    </row>
    <row r="128" spans="1:21">
      <c r="A128" s="1">
        <v>1100479023</v>
      </c>
      <c r="B128" s="1" t="s">
        <v>270</v>
      </c>
      <c r="C128" s="1" t="s">
        <v>271</v>
      </c>
      <c r="D128" s="15" cm="1">
        <f t="array" ref="D128">(SUMPRODUCT(_xlfn.XLOOKUP(TRIM(G128:N128), $X$2:$X$6, $Y$2:$Y$6, 0), $G$4:$N$4) + SUMPRODUCT(_xlfn.XLOOKUP(TRIM(P128:T128), $X$2:$X$6, $Y$2:$Y$6, 0), $P$4:$T$4)) / SUM($G$4:$N$4, $P$4:$T$4)</f>
        <v>4</v>
      </c>
      <c r="E128" s="1" t="s">
        <v>301</v>
      </c>
      <c r="G128" s="16" t="s">
        <v>14</v>
      </c>
      <c r="H128" s="16" t="s">
        <v>14</v>
      </c>
      <c r="I128" s="16" t="s">
        <v>14</v>
      </c>
      <c r="J128" s="16" t="s">
        <v>14</v>
      </c>
      <c r="K128" s="16" t="s">
        <v>14</v>
      </c>
      <c r="L128" s="16" t="s">
        <v>14</v>
      </c>
      <c r="M128" s="16" t="s">
        <v>14</v>
      </c>
      <c r="N128" s="16" t="s">
        <v>14</v>
      </c>
      <c r="O128" s="15" cm="1">
        <f t="array" ref="O128">SUMPRODUCT(_xlfn.XLOOKUP(G128:N128, $X$2:$X$6, $Y$2:$Y$6,0), $G$4:$N$4) / SUM($G$4:$N$4)</f>
        <v>4</v>
      </c>
      <c r="P128" s="1" t="s">
        <v>14</v>
      </c>
      <c r="Q128" s="1" t="s">
        <v>14</v>
      </c>
      <c r="R128" s="1" t="s">
        <v>14</v>
      </c>
      <c r="S128" s="1" t="s">
        <v>14</v>
      </c>
      <c r="T128" s="1" t="s">
        <v>14</v>
      </c>
      <c r="U128" s="15" cm="1">
        <f t="array" ref="U128">SUMPRODUCT(_xlfn.XLOOKUP(P128:T128, $X$2:$X$6, $Y$2:$Y$6, 0), $P$4:$T$4) / SUM($P$4:$T$4)</f>
        <v>4</v>
      </c>
    </row>
    <row r="129" spans="1:21">
      <c r="A129" s="1">
        <v>2100251223</v>
      </c>
      <c r="B129" s="1" t="s">
        <v>272</v>
      </c>
      <c r="C129" s="1" t="s">
        <v>273</v>
      </c>
      <c r="D129" s="15" cm="1">
        <f t="array" ref="D129">(SUMPRODUCT(_xlfn.XLOOKUP(TRIM(G129:N129), $X$2:$X$6, $Y$2:$Y$6, 0), $G$4:$N$4) + SUMPRODUCT(_xlfn.XLOOKUP(TRIM(P129:T129), $X$2:$X$6, $Y$2:$Y$6, 0), $P$4:$T$4)) / SUM($G$4:$N$4, $P$4:$T$4)</f>
        <v>3.1486486486486487</v>
      </c>
      <c r="E129" s="1" t="s">
        <v>301</v>
      </c>
      <c r="G129" s="16" t="s">
        <v>14</v>
      </c>
      <c r="H129" s="16" t="s">
        <v>16</v>
      </c>
      <c r="I129" s="16" t="s">
        <v>14</v>
      </c>
      <c r="J129" s="16" t="s">
        <v>17</v>
      </c>
      <c r="K129" s="16" t="s">
        <v>16</v>
      </c>
      <c r="L129" s="16" t="s">
        <v>16</v>
      </c>
      <c r="M129" s="16" t="s">
        <v>15</v>
      </c>
      <c r="N129" s="16" t="s">
        <v>17</v>
      </c>
      <c r="O129" s="15" cm="1">
        <f t="array" ref="O129">SUMPRODUCT(_xlfn.XLOOKUP(G129:N129, $X$2:$X$6, $Y$2:$Y$6,0), $G$4:$N$4) / SUM($G$4:$N$4)</f>
        <v>3.0454545454545454</v>
      </c>
      <c r="P129" s="1" t="s">
        <v>15</v>
      </c>
      <c r="Q129" s="1" t="s">
        <v>15</v>
      </c>
      <c r="R129" s="1" t="s">
        <v>14</v>
      </c>
      <c r="S129" s="1" t="s">
        <v>16</v>
      </c>
      <c r="T129" s="1" t="s">
        <v>17</v>
      </c>
      <c r="U129" s="15" cm="1">
        <f t="array" ref="U129">SUMPRODUCT(_xlfn.XLOOKUP(P129:T129, $X$2:$X$6, $Y$2:$Y$6, 0), $P$4:$T$4) / SUM($P$4:$T$4)</f>
        <v>3.3</v>
      </c>
    </row>
    <row r="130" spans="1:21">
      <c r="A130" s="1">
        <v>1100307323</v>
      </c>
      <c r="B130" s="1" t="s">
        <v>274</v>
      </c>
      <c r="C130" s="1" t="s">
        <v>275</v>
      </c>
      <c r="D130" s="15" cm="1">
        <f t="array" ref="D130">(SUMPRODUCT(_xlfn.XLOOKUP(TRIM(G130:N130), $X$2:$X$6, $Y$2:$Y$6, 0), $G$4:$N$4) + SUMPRODUCT(_xlfn.XLOOKUP(TRIM(P130:T130), $X$2:$X$6, $Y$2:$Y$6, 0), $P$4:$T$4)) / SUM($G$4:$N$4, $P$4:$T$4)</f>
        <v>3.2567567567567566</v>
      </c>
      <c r="E130" s="1" t="s">
        <v>301</v>
      </c>
      <c r="G130" s="16" t="s">
        <v>17</v>
      </c>
      <c r="H130" s="16" t="s">
        <v>14</v>
      </c>
      <c r="I130" s="16" t="s">
        <v>14</v>
      </c>
      <c r="J130" s="16" t="s">
        <v>14</v>
      </c>
      <c r="K130" s="16" t="s">
        <v>16</v>
      </c>
      <c r="L130" s="16" t="s">
        <v>17</v>
      </c>
      <c r="M130" s="16" t="s">
        <v>14</v>
      </c>
      <c r="N130" s="16" t="s">
        <v>14</v>
      </c>
      <c r="O130" s="15" cm="1">
        <f t="array" ref="O130">SUMPRODUCT(_xlfn.XLOOKUP(G130:N130, $X$2:$X$6, $Y$2:$Y$6,0), $G$4:$N$4) / SUM($G$4:$N$4)</f>
        <v>3.5454545454545454</v>
      </c>
      <c r="P130" s="1" t="s">
        <v>15</v>
      </c>
      <c r="Q130" s="1" t="s">
        <v>14</v>
      </c>
      <c r="R130" s="1" t="s">
        <v>16</v>
      </c>
      <c r="S130" s="1" t="s">
        <v>17</v>
      </c>
      <c r="T130" s="1" t="s">
        <v>17</v>
      </c>
      <c r="U130" s="15" cm="1">
        <f t="array" ref="U130">SUMPRODUCT(_xlfn.XLOOKUP(P130:T130, $X$2:$X$6, $Y$2:$Y$6, 0), $P$4:$T$4) / SUM($P$4:$T$4)</f>
        <v>2.8333333333333335</v>
      </c>
    </row>
    <row r="131" spans="1:21">
      <c r="A131" s="1">
        <v>1105859523</v>
      </c>
      <c r="B131" s="1" t="s">
        <v>276</v>
      </c>
      <c r="C131" s="1" t="s">
        <v>277</v>
      </c>
      <c r="D131" s="15" cm="1">
        <f t="array" ref="D131">(SUMPRODUCT(_xlfn.XLOOKUP(TRIM(G131:N131), $X$2:$X$6, $Y$2:$Y$6, 0), $G$4:$N$4) + SUMPRODUCT(_xlfn.XLOOKUP(TRIM(P131:T131), $X$2:$X$6, $Y$2:$Y$6, 0), $P$4:$T$4)) / SUM($G$4:$N$4, $P$4:$T$4)</f>
        <v>2.9189189189189189</v>
      </c>
      <c r="E131" s="1" t="s">
        <v>301</v>
      </c>
      <c r="G131" s="16" t="s">
        <v>16</v>
      </c>
      <c r="H131" s="16" t="s">
        <v>16</v>
      </c>
      <c r="I131" s="16" t="s">
        <v>16</v>
      </c>
      <c r="J131" s="16" t="s">
        <v>17</v>
      </c>
      <c r="K131" s="16" t="s">
        <v>14</v>
      </c>
      <c r="L131" s="16" t="s">
        <v>17</v>
      </c>
      <c r="M131" s="16" t="s">
        <v>17</v>
      </c>
      <c r="N131" s="16" t="s">
        <v>15</v>
      </c>
      <c r="O131" s="15" cm="1">
        <f t="array" ref="O131">SUMPRODUCT(_xlfn.XLOOKUP(G131:N131, $X$2:$X$6, $Y$2:$Y$6,0), $G$4:$N$4) / SUM($G$4:$N$4)</f>
        <v>2.7727272727272729</v>
      </c>
      <c r="P131" s="1" t="s">
        <v>17</v>
      </c>
      <c r="Q131" s="1" t="s">
        <v>15</v>
      </c>
      <c r="R131" s="1" t="s">
        <v>16</v>
      </c>
      <c r="S131" s="1" t="s">
        <v>15</v>
      </c>
      <c r="T131" s="1" t="s">
        <v>14</v>
      </c>
      <c r="U131" s="15" cm="1">
        <f t="array" ref="U131">SUMPRODUCT(_xlfn.XLOOKUP(P131:T131, $X$2:$X$6, $Y$2:$Y$6, 0), $P$4:$T$4) / SUM($P$4:$T$4)</f>
        <v>3.1333333333333333</v>
      </c>
    </row>
    <row r="132" spans="1:21">
      <c r="A132" s="1">
        <v>2101162223</v>
      </c>
      <c r="B132" s="1" t="s">
        <v>278</v>
      </c>
      <c r="C132" s="1" t="s">
        <v>279</v>
      </c>
      <c r="D132" s="15" cm="1">
        <f t="array" ref="D132">(SUMPRODUCT(_xlfn.XLOOKUP(TRIM(G132:N132), $X$2:$X$6, $Y$2:$Y$6, 0), $G$4:$N$4) + SUMPRODUCT(_xlfn.XLOOKUP(TRIM(P132:T132), $X$2:$X$6, $Y$2:$Y$6, 0), $P$4:$T$4)) / SUM($G$4:$N$4, $P$4:$T$4)</f>
        <v>3.1351351351351351</v>
      </c>
      <c r="E132" s="1" t="s">
        <v>301</v>
      </c>
      <c r="G132" s="16" t="s">
        <v>16</v>
      </c>
      <c r="H132" s="16" t="s">
        <v>17</v>
      </c>
      <c r="I132" s="16" t="s">
        <v>15</v>
      </c>
      <c r="J132" s="16" t="s">
        <v>16</v>
      </c>
      <c r="K132" s="16" t="s">
        <v>15</v>
      </c>
      <c r="L132" s="16" t="s">
        <v>14</v>
      </c>
      <c r="M132" s="16" t="s">
        <v>15</v>
      </c>
      <c r="N132" s="16" t="s">
        <v>14</v>
      </c>
      <c r="O132" s="15" cm="1">
        <f t="array" ref="O132">SUMPRODUCT(_xlfn.XLOOKUP(G132:N132, $X$2:$X$6, $Y$2:$Y$6,0), $G$4:$N$4) / SUM($G$4:$N$4)</f>
        <v>3.1818181818181817</v>
      </c>
      <c r="P132" s="1" t="s">
        <v>14</v>
      </c>
      <c r="Q132" s="1" t="s">
        <v>16</v>
      </c>
      <c r="R132" s="1" t="s">
        <v>17</v>
      </c>
      <c r="S132" s="1" t="s">
        <v>16</v>
      </c>
      <c r="T132" s="1" t="s">
        <v>14</v>
      </c>
      <c r="U132" s="15" cm="1">
        <f t="array" ref="U132">SUMPRODUCT(_xlfn.XLOOKUP(P132:T132, $X$2:$X$6, $Y$2:$Y$6, 0), $P$4:$T$4) / SUM($P$4:$T$4)</f>
        <v>3.0666666666666669</v>
      </c>
    </row>
    <row r="133" spans="1:21">
      <c r="A133" s="1">
        <v>1101179823</v>
      </c>
      <c r="B133" s="1" t="s">
        <v>280</v>
      </c>
      <c r="C133" s="1" t="s">
        <v>281</v>
      </c>
      <c r="D133" s="15" cm="1">
        <f t="array" ref="D133">(SUMPRODUCT(_xlfn.XLOOKUP(TRIM(G133:N133), $X$2:$X$6, $Y$2:$Y$6, 0), $G$4:$N$4) + SUMPRODUCT(_xlfn.XLOOKUP(TRIM(P133:T133), $X$2:$X$6, $Y$2:$Y$6, 0), $P$4:$T$4)) / SUM($G$4:$N$4, $P$4:$T$4)</f>
        <v>2.9459459459459461</v>
      </c>
      <c r="E133" s="1" t="s">
        <v>301</v>
      </c>
      <c r="G133" s="16" t="s">
        <v>16</v>
      </c>
      <c r="H133" s="16" t="s">
        <v>16</v>
      </c>
      <c r="I133" s="16" t="s">
        <v>16</v>
      </c>
      <c r="J133" s="16" t="s">
        <v>15</v>
      </c>
      <c r="K133" s="16" t="s">
        <v>17</v>
      </c>
      <c r="L133" s="16" t="s">
        <v>14</v>
      </c>
      <c r="M133" s="16" t="s">
        <v>17</v>
      </c>
      <c r="N133" s="16" t="s">
        <v>14</v>
      </c>
      <c r="O133" s="15" cm="1">
        <f t="array" ref="O133">SUMPRODUCT(_xlfn.XLOOKUP(G133:N133, $X$2:$X$6, $Y$2:$Y$6,0), $G$4:$N$4) / SUM($G$4:$N$4)</f>
        <v>3.0909090909090908</v>
      </c>
      <c r="P133" s="1" t="s">
        <v>14</v>
      </c>
      <c r="Q133" s="1" t="s">
        <v>15</v>
      </c>
      <c r="R133" s="1" t="s">
        <v>17</v>
      </c>
      <c r="S133" s="1" t="s">
        <v>17</v>
      </c>
      <c r="T133" s="1" t="s">
        <v>16</v>
      </c>
      <c r="U133" s="15" cm="1">
        <f t="array" ref="U133">SUMPRODUCT(_xlfn.XLOOKUP(P133:T133, $X$2:$X$6, $Y$2:$Y$6, 0), $P$4:$T$4) / SUM($P$4:$T$4)</f>
        <v>2.7333333333333334</v>
      </c>
    </row>
    <row r="134" spans="1:21">
      <c r="A134" s="1">
        <v>1108533623</v>
      </c>
      <c r="B134" s="1" t="s">
        <v>282</v>
      </c>
      <c r="C134" s="1" t="s">
        <v>283</v>
      </c>
      <c r="D134" s="15" cm="1">
        <f t="array" ref="D134">(SUMPRODUCT(_xlfn.XLOOKUP(TRIM(G134:N134), $X$2:$X$6, $Y$2:$Y$6, 0), $G$4:$N$4) + SUMPRODUCT(_xlfn.XLOOKUP(TRIM(P134:T134), $X$2:$X$6, $Y$2:$Y$6, 0), $P$4:$T$4)) / SUM($G$4:$N$4, $P$4:$T$4)</f>
        <v>3.6621621621621623</v>
      </c>
      <c r="E134" s="1" t="s">
        <v>301</v>
      </c>
      <c r="G134" s="16" t="s">
        <v>14</v>
      </c>
      <c r="H134" s="16" t="s">
        <v>14</v>
      </c>
      <c r="I134" s="16" t="s">
        <v>16</v>
      </c>
      <c r="J134" s="16" t="s">
        <v>14</v>
      </c>
      <c r="K134" s="16" t="s">
        <v>17</v>
      </c>
      <c r="L134" s="16" t="s">
        <v>15</v>
      </c>
      <c r="M134" s="16" t="s">
        <v>14</v>
      </c>
      <c r="N134" s="16" t="s">
        <v>14</v>
      </c>
      <c r="O134" s="15" cm="1">
        <f t="array" ref="O134">SUMPRODUCT(_xlfn.XLOOKUP(G134:N134, $X$2:$X$6, $Y$2:$Y$6,0), $G$4:$N$4) / SUM($G$4:$N$4)</f>
        <v>3.5909090909090908</v>
      </c>
      <c r="P134" s="1" t="s">
        <v>15</v>
      </c>
      <c r="Q134" s="1" t="s">
        <v>16</v>
      </c>
      <c r="R134" s="1" t="s">
        <v>14</v>
      </c>
      <c r="S134" s="1" t="s">
        <v>14</v>
      </c>
      <c r="T134" s="1" t="s">
        <v>14</v>
      </c>
      <c r="U134" s="15" cm="1">
        <f t="array" ref="U134">SUMPRODUCT(_xlfn.XLOOKUP(P134:T134, $X$2:$X$6, $Y$2:$Y$6, 0), $P$4:$T$4) / SUM($P$4:$T$4)</f>
        <v>3.7666666666666666</v>
      </c>
    </row>
    <row r="135" spans="1:21">
      <c r="A135" s="1">
        <v>1100847323</v>
      </c>
      <c r="B135" s="1" t="s">
        <v>284</v>
      </c>
      <c r="C135" s="1" t="s">
        <v>285</v>
      </c>
      <c r="D135" s="15" cm="1">
        <f t="array" ref="D135">(SUMPRODUCT(_xlfn.XLOOKUP(TRIM(G135:N135), $X$2:$X$6, $Y$2:$Y$6, 0), $G$4:$N$4) + SUMPRODUCT(_xlfn.XLOOKUP(TRIM(P135:T135), $X$2:$X$6, $Y$2:$Y$6, 0), $P$4:$T$4)) / SUM($G$4:$N$4, $P$4:$T$4)</f>
        <v>3.5135135135135136</v>
      </c>
      <c r="E135" s="1" t="s">
        <v>301</v>
      </c>
      <c r="G135" s="16" t="s">
        <v>14</v>
      </c>
      <c r="H135" s="16" t="s">
        <v>15</v>
      </c>
      <c r="I135" s="16" t="s">
        <v>14</v>
      </c>
      <c r="J135" s="16" t="s">
        <v>16</v>
      </c>
      <c r="K135" s="16" t="s">
        <v>16</v>
      </c>
      <c r="L135" s="16" t="s">
        <v>15</v>
      </c>
      <c r="M135" s="16" t="s">
        <v>16</v>
      </c>
      <c r="N135" s="16" t="s">
        <v>15</v>
      </c>
      <c r="O135" s="15" cm="1">
        <f t="array" ref="O135">SUMPRODUCT(_xlfn.XLOOKUP(G135:N135, $X$2:$X$6, $Y$2:$Y$6,0), $G$4:$N$4) / SUM($G$4:$N$4)</f>
        <v>3.4545454545454546</v>
      </c>
      <c r="P135" s="1" t="s">
        <v>14</v>
      </c>
      <c r="Q135" s="1" t="s">
        <v>14</v>
      </c>
      <c r="R135" s="1" t="s">
        <v>16</v>
      </c>
      <c r="S135" s="1" t="s">
        <v>15</v>
      </c>
      <c r="T135" s="1" t="s">
        <v>14</v>
      </c>
      <c r="U135" s="15" cm="1">
        <f t="array" ref="U135">SUMPRODUCT(_xlfn.XLOOKUP(P135:T135, $X$2:$X$6, $Y$2:$Y$6, 0), $P$4:$T$4) / SUM($P$4:$T$4)</f>
        <v>3.6</v>
      </c>
    </row>
    <row r="136" spans="1:21">
      <c r="A136" s="1">
        <v>2100168123</v>
      </c>
      <c r="B136" s="1" t="s">
        <v>286</v>
      </c>
      <c r="C136" s="1" t="s">
        <v>287</v>
      </c>
      <c r="D136" s="15" cm="1">
        <f t="array" ref="D136">(SUMPRODUCT(_xlfn.XLOOKUP(TRIM(G136:N136), $X$2:$X$6, $Y$2:$Y$6, 0), $G$4:$N$4) + SUMPRODUCT(_xlfn.XLOOKUP(TRIM(P136:T136), $X$2:$X$6, $Y$2:$Y$6, 0), $P$4:$T$4)) / SUM($G$4:$N$4, $P$4:$T$4)</f>
        <v>3.3378378378378377</v>
      </c>
      <c r="E136" s="1" t="s">
        <v>301</v>
      </c>
      <c r="G136" s="16" t="s">
        <v>15</v>
      </c>
      <c r="H136" s="16" t="s">
        <v>15</v>
      </c>
      <c r="I136" s="16" t="s">
        <v>15</v>
      </c>
      <c r="J136" s="16" t="s">
        <v>16</v>
      </c>
      <c r="K136" s="16" t="s">
        <v>15</v>
      </c>
      <c r="L136" s="16" t="s">
        <v>17</v>
      </c>
      <c r="M136" s="16" t="s">
        <v>15</v>
      </c>
      <c r="N136" s="16" t="s">
        <v>17</v>
      </c>
      <c r="O136" s="15" cm="1">
        <f t="array" ref="O136">SUMPRODUCT(_xlfn.XLOOKUP(G136:N136, $X$2:$X$6, $Y$2:$Y$6,0), $G$4:$N$4) / SUM($G$4:$N$4)</f>
        <v>3.1363636363636362</v>
      </c>
      <c r="P136" s="1" t="s">
        <v>15</v>
      </c>
      <c r="Q136" s="1" t="s">
        <v>16</v>
      </c>
      <c r="R136" s="1" t="s">
        <v>14</v>
      </c>
      <c r="S136" s="1" t="s">
        <v>15</v>
      </c>
      <c r="T136" s="1" t="s">
        <v>14</v>
      </c>
      <c r="U136" s="15" cm="1">
        <f t="array" ref="U136">SUMPRODUCT(_xlfn.XLOOKUP(P136:T136, $X$2:$X$6, $Y$2:$Y$6, 0), $P$4:$T$4) / SUM($P$4:$T$4)</f>
        <v>3.6333333333333333</v>
      </c>
    </row>
    <row r="137" spans="1:21">
      <c r="A137" s="1">
        <v>1103351323</v>
      </c>
      <c r="B137" s="1" t="s">
        <v>288</v>
      </c>
      <c r="C137" s="1" t="s">
        <v>289</v>
      </c>
      <c r="D137" s="15" cm="1">
        <f t="array" ref="D137">(SUMPRODUCT(_xlfn.XLOOKUP(TRIM(G137:N137), $X$2:$X$6, $Y$2:$Y$6, 0), $G$4:$N$4) + SUMPRODUCT(_xlfn.XLOOKUP(TRIM(P137:T137), $X$2:$X$6, $Y$2:$Y$6, 0), $P$4:$T$4)) / SUM($G$4:$N$4, $P$4:$T$4)</f>
        <v>3.2702702702702702</v>
      </c>
      <c r="E137" s="1" t="s">
        <v>301</v>
      </c>
      <c r="G137" s="16" t="s">
        <v>17</v>
      </c>
      <c r="H137" s="16" t="s">
        <v>15</v>
      </c>
      <c r="I137" s="16" t="s">
        <v>16</v>
      </c>
      <c r="J137" s="16" t="s">
        <v>16</v>
      </c>
      <c r="K137" s="16" t="s">
        <v>16</v>
      </c>
      <c r="L137" s="16" t="s">
        <v>15</v>
      </c>
      <c r="M137" s="16" t="s">
        <v>16</v>
      </c>
      <c r="N137" s="16" t="s">
        <v>15</v>
      </c>
      <c r="O137" s="15" cm="1">
        <f t="array" ref="O137">SUMPRODUCT(_xlfn.XLOOKUP(G137:N137, $X$2:$X$6, $Y$2:$Y$6,0), $G$4:$N$4) / SUM($G$4:$N$4)</f>
        <v>3.0909090909090908</v>
      </c>
      <c r="P137" s="1" t="s">
        <v>14</v>
      </c>
      <c r="Q137" s="1" t="s">
        <v>17</v>
      </c>
      <c r="R137" s="1" t="s">
        <v>15</v>
      </c>
      <c r="S137" s="1" t="s">
        <v>14</v>
      </c>
      <c r="T137" s="1" t="s">
        <v>15</v>
      </c>
      <c r="U137" s="15" cm="1">
        <f t="array" ref="U137">SUMPRODUCT(_xlfn.XLOOKUP(P137:T137, $X$2:$X$6, $Y$2:$Y$6, 0), $P$4:$T$4) / SUM($P$4:$T$4)</f>
        <v>3.5333333333333332</v>
      </c>
    </row>
    <row r="138" spans="1:21">
      <c r="A138" s="1">
        <v>1101552123</v>
      </c>
      <c r="B138" s="1" t="s">
        <v>290</v>
      </c>
      <c r="C138" s="1" t="s">
        <v>291</v>
      </c>
      <c r="D138" s="15" cm="1">
        <f t="array" ref="D138">(SUMPRODUCT(_xlfn.XLOOKUP(TRIM(G138:N138), $X$2:$X$6, $Y$2:$Y$6, 0), $G$4:$N$4) + SUMPRODUCT(_xlfn.XLOOKUP(TRIM(P138:T138), $X$2:$X$6, $Y$2:$Y$6, 0), $P$4:$T$4)) / SUM($G$4:$N$4, $P$4:$T$4)</f>
        <v>3.5810810810810811</v>
      </c>
      <c r="E138" s="1" t="s">
        <v>301</v>
      </c>
      <c r="G138" s="16" t="s">
        <v>16</v>
      </c>
      <c r="H138" s="16" t="s">
        <v>16</v>
      </c>
      <c r="I138" s="16" t="s">
        <v>15</v>
      </c>
      <c r="J138" s="16" t="s">
        <v>14</v>
      </c>
      <c r="K138" s="16" t="s">
        <v>14</v>
      </c>
      <c r="L138" s="16" t="s">
        <v>15</v>
      </c>
      <c r="M138" s="16" t="s">
        <v>14</v>
      </c>
      <c r="N138" s="16" t="s">
        <v>15</v>
      </c>
      <c r="O138" s="15" cm="1">
        <f t="array" ref="O138">SUMPRODUCT(_xlfn.XLOOKUP(G138:N138, $X$2:$X$6, $Y$2:$Y$6,0), $G$4:$N$4) / SUM($G$4:$N$4)</f>
        <v>3.5454545454545454</v>
      </c>
      <c r="P138" s="1" t="s">
        <v>15</v>
      </c>
      <c r="Q138" s="1" t="s">
        <v>14</v>
      </c>
      <c r="R138" s="1" t="s">
        <v>14</v>
      </c>
      <c r="S138" s="1" t="s">
        <v>14</v>
      </c>
      <c r="T138" s="1" t="s">
        <v>17</v>
      </c>
      <c r="U138" s="15" cm="1">
        <f t="array" ref="U138">SUMPRODUCT(_xlfn.XLOOKUP(P138:T138, $X$2:$X$6, $Y$2:$Y$6, 0), $P$4:$T$4) / SUM($P$4:$T$4)</f>
        <v>3.6333333333333333</v>
      </c>
    </row>
    <row r="139" spans="1:21">
      <c r="A139" s="1">
        <v>2101351923</v>
      </c>
      <c r="B139" s="1" t="s">
        <v>292</v>
      </c>
      <c r="C139" s="1" t="s">
        <v>293</v>
      </c>
      <c r="D139" s="15" cm="1">
        <f t="array" ref="D139">(SUMPRODUCT(_xlfn.XLOOKUP(TRIM(G139:N139), $X$2:$X$6, $Y$2:$Y$6, 0), $G$4:$N$4) + SUMPRODUCT(_xlfn.XLOOKUP(TRIM(P139:T139), $X$2:$X$6, $Y$2:$Y$6, 0), $P$4:$T$4)) / SUM($G$4:$N$4, $P$4:$T$4)</f>
        <v>2.8648648648648649</v>
      </c>
      <c r="E139" s="1" t="s">
        <v>301</v>
      </c>
      <c r="G139" s="16" t="s">
        <v>15</v>
      </c>
      <c r="H139" s="16" t="s">
        <v>15</v>
      </c>
      <c r="I139" s="16" t="s">
        <v>14</v>
      </c>
      <c r="J139" s="16" t="s">
        <v>17</v>
      </c>
      <c r="K139" s="16" t="s">
        <v>17</v>
      </c>
      <c r="L139" s="16" t="s">
        <v>17</v>
      </c>
      <c r="M139" s="16" t="s">
        <v>17</v>
      </c>
      <c r="N139" s="16" t="s">
        <v>17</v>
      </c>
      <c r="O139" s="15" cm="1">
        <f t="array" ref="O139">SUMPRODUCT(_xlfn.XLOOKUP(G139:N139, $X$2:$X$6, $Y$2:$Y$6,0), $G$4:$N$4) / SUM($G$4:$N$4)</f>
        <v>2.7727272727272729</v>
      </c>
      <c r="P139" s="1" t="s">
        <v>14</v>
      </c>
      <c r="Q139" s="1" t="s">
        <v>15</v>
      </c>
      <c r="R139" s="1" t="s">
        <v>17</v>
      </c>
      <c r="S139" s="1" t="s">
        <v>15</v>
      </c>
      <c r="T139" s="1" t="s">
        <v>17</v>
      </c>
      <c r="U139" s="15" cm="1">
        <f t="array" ref="U139">SUMPRODUCT(_xlfn.XLOOKUP(P139:T139, $X$2:$X$6, $Y$2:$Y$6, 0), $P$4:$T$4) / SUM($P$4:$T$4)</f>
        <v>3</v>
      </c>
    </row>
    <row r="140" spans="1:21">
      <c r="A140" s="1">
        <v>1102698423</v>
      </c>
      <c r="B140" s="1" t="s">
        <v>294</v>
      </c>
      <c r="C140" s="1" t="s">
        <v>295</v>
      </c>
      <c r="D140" s="15" cm="1">
        <f t="array" ref="D140">(SUMPRODUCT(_xlfn.XLOOKUP(TRIM(G140:N140), $X$2:$X$6, $Y$2:$Y$6, 0), $G$4:$N$4) + SUMPRODUCT(_xlfn.XLOOKUP(TRIM(P140:T140), $X$2:$X$6, $Y$2:$Y$6, 0), $P$4:$T$4)) / SUM($G$4:$N$4, $P$4:$T$4)</f>
        <v>3.2702702702702702</v>
      </c>
      <c r="E140" s="1" t="s">
        <v>301</v>
      </c>
      <c r="G140" s="16" t="s">
        <v>14</v>
      </c>
      <c r="H140" s="16" t="s">
        <v>17</v>
      </c>
      <c r="I140" s="16" t="s">
        <v>15</v>
      </c>
      <c r="J140" s="16" t="s">
        <v>16</v>
      </c>
      <c r="K140" s="16" t="s">
        <v>17</v>
      </c>
      <c r="L140" s="16" t="s">
        <v>15</v>
      </c>
      <c r="M140" s="16" t="s">
        <v>14</v>
      </c>
      <c r="N140" s="16" t="s">
        <v>16</v>
      </c>
      <c r="O140" s="15" cm="1">
        <f t="array" ref="O140">SUMPRODUCT(_xlfn.XLOOKUP(G140:N140, $X$2:$X$6, $Y$2:$Y$6,0), $G$4:$N$4) / SUM($G$4:$N$4)</f>
        <v>3.0454545454545454</v>
      </c>
      <c r="P140" s="1" t="s">
        <v>14</v>
      </c>
      <c r="Q140" s="1" t="s">
        <v>15</v>
      </c>
      <c r="R140" s="1" t="s">
        <v>15</v>
      </c>
      <c r="S140" s="1" t="s">
        <v>15</v>
      </c>
      <c r="T140" s="1" t="s">
        <v>15</v>
      </c>
      <c r="U140" s="15" cm="1">
        <f t="array" ref="U140">SUMPRODUCT(_xlfn.XLOOKUP(P140:T140, $X$2:$X$6, $Y$2:$Y$6, 0), $P$4:$T$4) / SUM($P$4:$T$4)</f>
        <v>3.6</v>
      </c>
    </row>
    <row r="141" spans="1:21">
      <c r="A141" s="1">
        <v>2200058023</v>
      </c>
      <c r="B141" s="1" t="s">
        <v>296</v>
      </c>
      <c r="C141" s="1" t="s">
        <v>297</v>
      </c>
      <c r="D141" s="15" cm="1">
        <f t="array" ref="D141">(SUMPRODUCT(_xlfn.XLOOKUP(TRIM(G141:N141), $X$2:$X$6, $Y$2:$Y$6, 0), $G$4:$N$4) + SUMPRODUCT(_xlfn.XLOOKUP(TRIM(P141:T141), $X$2:$X$6, $Y$2:$Y$6, 0), $P$4:$T$4)) / SUM($G$4:$N$4, $P$4:$T$4)</f>
        <v>3.2837837837837838</v>
      </c>
      <c r="E141" s="1" t="s">
        <v>301</v>
      </c>
      <c r="G141" s="16" t="s">
        <v>14</v>
      </c>
      <c r="H141" s="16" t="s">
        <v>17</v>
      </c>
      <c r="I141" s="16" t="s">
        <v>16</v>
      </c>
      <c r="J141" s="16" t="s">
        <v>14</v>
      </c>
      <c r="K141" s="16" t="s">
        <v>14</v>
      </c>
      <c r="L141" s="16" t="s">
        <v>14</v>
      </c>
      <c r="M141" s="16" t="s">
        <v>14</v>
      </c>
      <c r="N141" s="16" t="s">
        <v>15</v>
      </c>
      <c r="O141" s="15" cm="1">
        <f t="array" ref="O141">SUMPRODUCT(_xlfn.XLOOKUP(G141:N141, $X$2:$X$6, $Y$2:$Y$6,0), $G$4:$N$4) / SUM($G$4:$N$4)</f>
        <v>3.4090909090909092</v>
      </c>
      <c r="P141" s="1" t="s">
        <v>15</v>
      </c>
      <c r="Q141" s="1" t="s">
        <v>16</v>
      </c>
      <c r="R141" s="1" t="s">
        <v>17</v>
      </c>
      <c r="S141" s="1" t="s">
        <v>14</v>
      </c>
      <c r="T141" s="1" t="s">
        <v>16</v>
      </c>
      <c r="U141" s="15" cm="1">
        <f t="array" ref="U141">SUMPRODUCT(_xlfn.XLOOKUP(P141:T141, $X$2:$X$6, $Y$2:$Y$6, 0), $P$4:$T$4) / SUM($P$4:$T$4)</f>
        <v>3.1</v>
      </c>
    </row>
    <row r="142" spans="1:21">
      <c r="A142" s="1">
        <v>1100890723</v>
      </c>
      <c r="B142" s="1" t="s">
        <v>298</v>
      </c>
      <c r="C142" s="1" t="s">
        <v>299</v>
      </c>
      <c r="D142" s="15" cm="1">
        <f t="array" ref="D142">(SUMPRODUCT(_xlfn.XLOOKUP(TRIM(G142:N142), $X$2:$X$6, $Y$2:$Y$6, 0), $G$4:$N$4) + SUMPRODUCT(_xlfn.XLOOKUP(TRIM(P142:T142), $X$2:$X$6, $Y$2:$Y$6, 0), $P$4:$T$4)) / SUM($G$4:$N$4, $P$4:$T$4)</f>
        <v>2.9864864864864864</v>
      </c>
      <c r="E142" s="1" t="s">
        <v>301</v>
      </c>
      <c r="G142" s="16" t="s">
        <v>14</v>
      </c>
      <c r="H142" s="16" t="s">
        <v>16</v>
      </c>
      <c r="I142" s="16" t="s">
        <v>16</v>
      </c>
      <c r="J142" s="16" t="s">
        <v>17</v>
      </c>
      <c r="K142" s="16" t="s">
        <v>14</v>
      </c>
      <c r="L142" s="16" t="s">
        <v>15</v>
      </c>
      <c r="M142" s="16" t="s">
        <v>16</v>
      </c>
      <c r="N142" s="16" t="s">
        <v>15</v>
      </c>
      <c r="O142" s="15" cm="1">
        <f t="array" ref="O142">SUMPRODUCT(_xlfn.XLOOKUP(G142:N142, $X$2:$X$6, $Y$2:$Y$6,0), $G$4:$N$4) / SUM($G$4:$N$4)</f>
        <v>3.0909090909090908</v>
      </c>
      <c r="P142" s="1" t="s">
        <v>15</v>
      </c>
      <c r="Q142" s="1" t="s">
        <v>17</v>
      </c>
      <c r="R142" s="1" t="s">
        <v>16</v>
      </c>
      <c r="S142" s="1" t="s">
        <v>17</v>
      </c>
      <c r="T142" s="1" t="s">
        <v>14</v>
      </c>
      <c r="U142" s="15" cm="1">
        <f t="array" ref="U142">SUMPRODUCT(_xlfn.XLOOKUP(P142:T142, $X$2:$X$6, $Y$2:$Y$6, 0), $P$4:$T$4) / SUM($P$4:$T$4)</f>
        <v>2.8333333333333335</v>
      </c>
    </row>
    <row r="143" spans="1:21">
      <c r="A143" s="1">
        <v>2101132824</v>
      </c>
      <c r="B143" s="1" t="s">
        <v>358</v>
      </c>
      <c r="C143" s="1" t="s">
        <v>359</v>
      </c>
      <c r="D143" s="15" cm="1">
        <f t="array" ref="D143">(SUMPRODUCT(_xlfn.XLOOKUP(TRIM(G143:N143), $X$2:$X$6, $Y$2:$Y$6, 0), $G$4:$N$4) + SUMPRODUCT(_xlfn.XLOOKUP(TRIM(P143:T143), $X$2:$X$6, $Y$2:$Y$6, 0), $P$4:$T$4)) / SUM($G$4:$N$4, $P$4:$T$4)</f>
        <v>3.5945945945945947</v>
      </c>
      <c r="E143" s="1" t="s">
        <v>313</v>
      </c>
      <c r="G143" s="16" t="s">
        <v>14</v>
      </c>
      <c r="H143" s="16" t="s">
        <v>14</v>
      </c>
      <c r="I143" s="16" t="s">
        <v>16</v>
      </c>
      <c r="J143" s="16" t="s">
        <v>15</v>
      </c>
      <c r="K143" s="16" t="s">
        <v>15</v>
      </c>
      <c r="L143" s="16" t="s">
        <v>15</v>
      </c>
      <c r="M143" s="16" t="s">
        <v>14</v>
      </c>
      <c r="N143" s="16" t="s">
        <v>14</v>
      </c>
      <c r="O143" s="15" cm="1">
        <f t="array" ref="O143">SUMPRODUCT(_xlfn.XLOOKUP(G143:N143, $X$2:$X$6, $Y$2:$Y$6,0), $G$4:$N$4) / SUM($G$4:$N$4)</f>
        <v>3.6363636363636362</v>
      </c>
      <c r="P143" s="1" t="s">
        <v>17</v>
      </c>
      <c r="Q143" s="1" t="s">
        <v>14</v>
      </c>
      <c r="R143" s="1" t="s">
        <v>14</v>
      </c>
      <c r="S143" s="1" t="s">
        <v>14</v>
      </c>
      <c r="T143" s="1" t="s">
        <v>15</v>
      </c>
      <c r="U143" s="15" cm="1">
        <f t="array" ref="U143">SUMPRODUCT(_xlfn.XLOOKUP(P143:T143, $X$2:$X$6, $Y$2:$Y$6, 0), $P$4:$T$4) / SUM($P$4:$T$4)</f>
        <v>3.5333333333333332</v>
      </c>
    </row>
    <row r="144" spans="1:21">
      <c r="A144" s="1">
        <v>2100936124</v>
      </c>
      <c r="B144" s="1" t="s">
        <v>360</v>
      </c>
      <c r="C144" s="1" t="s">
        <v>361</v>
      </c>
      <c r="D144" s="15" cm="1">
        <f t="array" ref="D144">(SUMPRODUCT(_xlfn.XLOOKUP(TRIM(G144:N144), $X$2:$X$6, $Y$2:$Y$6, 0), $G$4:$N$4) + SUMPRODUCT(_xlfn.XLOOKUP(TRIM(P144:T144), $X$2:$X$6, $Y$2:$Y$6, 0), $P$4:$T$4)) / SUM($G$4:$N$4, $P$4:$T$4)</f>
        <v>3.1216216216216215</v>
      </c>
      <c r="E144" s="1" t="s">
        <v>313</v>
      </c>
      <c r="G144" s="16" t="s">
        <v>15</v>
      </c>
      <c r="H144" s="16" t="s">
        <v>14</v>
      </c>
      <c r="I144" s="16" t="s">
        <v>15</v>
      </c>
      <c r="J144" s="16" t="s">
        <v>17</v>
      </c>
      <c r="K144" s="16" t="s">
        <v>15</v>
      </c>
      <c r="L144" s="16" t="s">
        <v>17</v>
      </c>
      <c r="M144" s="16" t="s">
        <v>16</v>
      </c>
      <c r="N144" s="16" t="s">
        <v>14</v>
      </c>
      <c r="O144" s="15" cm="1">
        <f t="array" ref="O144">SUMPRODUCT(_xlfn.XLOOKUP(G144:N144, $X$2:$X$6, $Y$2:$Y$6,0), $G$4:$N$4) / SUM($G$4:$N$4)</f>
        <v>3.1818181818181817</v>
      </c>
      <c r="P144" s="1" t="s">
        <v>15</v>
      </c>
      <c r="Q144" s="1" t="s">
        <v>17</v>
      </c>
      <c r="R144" s="1" t="s">
        <v>16</v>
      </c>
      <c r="S144" s="1" t="s">
        <v>16</v>
      </c>
      <c r="T144" s="1" t="s">
        <v>15</v>
      </c>
      <c r="U144" s="15" cm="1">
        <f t="array" ref="U144">SUMPRODUCT(_xlfn.XLOOKUP(P144:T144, $X$2:$X$6, $Y$2:$Y$6, 0), $P$4:$T$4) / SUM($P$4:$T$4)</f>
        <v>3.0333333333333332</v>
      </c>
    </row>
    <row r="145" spans="1:21">
      <c r="A145" s="1">
        <v>1103936724</v>
      </c>
      <c r="B145" s="1" t="s">
        <v>362</v>
      </c>
      <c r="C145" s="1" t="s">
        <v>363</v>
      </c>
      <c r="D145" s="15" cm="1">
        <f t="array" ref="D145">(SUMPRODUCT(_xlfn.XLOOKUP(TRIM(G145:N145), $X$2:$X$6, $Y$2:$Y$6, 0), $G$4:$N$4) + SUMPRODUCT(_xlfn.XLOOKUP(TRIM(P145:T145), $X$2:$X$6, $Y$2:$Y$6, 0), $P$4:$T$4)) / SUM($G$4:$N$4, $P$4:$T$4)</f>
        <v>3.2432432432432434</v>
      </c>
      <c r="E145" s="1" t="s">
        <v>313</v>
      </c>
      <c r="G145" s="16" t="s">
        <v>15</v>
      </c>
      <c r="H145" s="16" t="s">
        <v>16</v>
      </c>
      <c r="I145" s="16" t="s">
        <v>14</v>
      </c>
      <c r="J145" s="16" t="s">
        <v>14</v>
      </c>
      <c r="K145" s="16" t="s">
        <v>17</v>
      </c>
      <c r="L145" s="16" t="s">
        <v>14</v>
      </c>
      <c r="M145" s="16" t="s">
        <v>16</v>
      </c>
      <c r="N145" s="16" t="s">
        <v>16</v>
      </c>
      <c r="O145" s="15" cm="1">
        <f t="array" ref="O145">SUMPRODUCT(_xlfn.XLOOKUP(G145:N145, $X$2:$X$6, $Y$2:$Y$6,0), $G$4:$N$4) / SUM($G$4:$N$4)</f>
        <v>3.4090909090909092</v>
      </c>
      <c r="P145" s="1" t="s">
        <v>16</v>
      </c>
      <c r="Q145" s="1" t="s">
        <v>14</v>
      </c>
      <c r="R145" s="1" t="s">
        <v>17</v>
      </c>
      <c r="S145" s="1" t="s">
        <v>14</v>
      </c>
      <c r="T145" s="1" t="s">
        <v>17</v>
      </c>
      <c r="U145" s="15" cm="1">
        <f t="array" ref="U145">SUMPRODUCT(_xlfn.XLOOKUP(P145:T145, $X$2:$X$6, $Y$2:$Y$6, 0), $P$4:$T$4) / SUM($P$4:$T$4)</f>
        <v>3</v>
      </c>
    </row>
    <row r="146" spans="1:21">
      <c r="A146" s="1">
        <v>2101007124</v>
      </c>
      <c r="B146" s="1" t="s">
        <v>364</v>
      </c>
      <c r="C146" s="1" t="s">
        <v>365</v>
      </c>
      <c r="D146" s="15" cm="1">
        <f t="array" ref="D146">(SUMPRODUCT(_xlfn.XLOOKUP(TRIM(G146:N146), $X$2:$X$6, $Y$2:$Y$6, 0), $G$4:$N$4) + SUMPRODUCT(_xlfn.XLOOKUP(TRIM(P146:T146), $X$2:$X$6, $Y$2:$Y$6, 0), $P$4:$T$4)) / SUM($G$4:$N$4, $P$4:$T$4)</f>
        <v>3.3513513513513513</v>
      </c>
      <c r="E146" s="1" t="s">
        <v>313</v>
      </c>
      <c r="G146" s="16" t="s">
        <v>14</v>
      </c>
      <c r="H146" s="16" t="s">
        <v>16</v>
      </c>
      <c r="I146" s="16" t="s">
        <v>16</v>
      </c>
      <c r="J146" s="16" t="s">
        <v>15</v>
      </c>
      <c r="K146" s="16" t="s">
        <v>14</v>
      </c>
      <c r="L146" s="16" t="s">
        <v>14</v>
      </c>
      <c r="M146" s="16" t="s">
        <v>15</v>
      </c>
      <c r="N146" s="16" t="s">
        <v>16</v>
      </c>
      <c r="O146" s="15" cm="1">
        <f t="array" ref="O146">SUMPRODUCT(_xlfn.XLOOKUP(G146:N146, $X$2:$X$6, $Y$2:$Y$6,0), $G$4:$N$4) / SUM($G$4:$N$4)</f>
        <v>3.4090909090909092</v>
      </c>
      <c r="P146" s="1" t="s">
        <v>14</v>
      </c>
      <c r="Q146" s="1" t="s">
        <v>15</v>
      </c>
      <c r="R146" s="1" t="s">
        <v>14</v>
      </c>
      <c r="S146" s="1" t="s">
        <v>17</v>
      </c>
      <c r="T146" s="1" t="s">
        <v>16</v>
      </c>
      <c r="U146" s="15" cm="1">
        <f t="array" ref="U146">SUMPRODUCT(_xlfn.XLOOKUP(P146:T146, $X$2:$X$6, $Y$2:$Y$6, 0), $P$4:$T$4) / SUM($P$4:$T$4)</f>
        <v>3.2666666666666666</v>
      </c>
    </row>
    <row r="147" spans="1:21">
      <c r="A147" s="1">
        <v>2101109124</v>
      </c>
      <c r="B147" s="1" t="s">
        <v>366</v>
      </c>
      <c r="C147" s="1" t="s">
        <v>367</v>
      </c>
      <c r="D147" s="15" cm="1">
        <f t="array" ref="D147">(SUMPRODUCT(_xlfn.XLOOKUP(TRIM(G147:N147), $X$2:$X$6, $Y$2:$Y$6, 0), $G$4:$N$4) + SUMPRODUCT(_xlfn.XLOOKUP(TRIM(P147:T147), $X$2:$X$6, $Y$2:$Y$6, 0), $P$4:$T$4)) / SUM($G$4:$N$4, $P$4:$T$4)</f>
        <v>3.0405405405405403</v>
      </c>
      <c r="E147" s="1" t="s">
        <v>313</v>
      </c>
      <c r="G147" s="16" t="s">
        <v>17</v>
      </c>
      <c r="H147" s="16" t="s">
        <v>16</v>
      </c>
      <c r="I147" s="16" t="s">
        <v>15</v>
      </c>
      <c r="J147" s="16" t="s">
        <v>16</v>
      </c>
      <c r="K147" s="16" t="s">
        <v>16</v>
      </c>
      <c r="L147" s="16" t="s">
        <v>15</v>
      </c>
      <c r="M147" s="16" t="s">
        <v>16</v>
      </c>
      <c r="N147" s="16" t="s">
        <v>14</v>
      </c>
      <c r="O147" s="15" cm="1">
        <f t="array" ref="O147">SUMPRODUCT(_xlfn.XLOOKUP(G147:N147, $X$2:$X$6, $Y$2:$Y$6,0), $G$4:$N$4) / SUM($G$4:$N$4)</f>
        <v>3.1363636363636362</v>
      </c>
      <c r="P147" s="1" t="s">
        <v>15</v>
      </c>
      <c r="Q147" s="1" t="s">
        <v>15</v>
      </c>
      <c r="R147" s="1" t="s">
        <v>15</v>
      </c>
      <c r="S147" s="1" t="s">
        <v>17</v>
      </c>
      <c r="T147" s="1" t="s">
        <v>17</v>
      </c>
      <c r="U147" s="15" cm="1">
        <f t="array" ref="U147">SUMPRODUCT(_xlfn.XLOOKUP(P147:T147, $X$2:$X$6, $Y$2:$Y$6, 0), $P$4:$T$4) / SUM($P$4:$T$4)</f>
        <v>2.9</v>
      </c>
    </row>
    <row r="148" spans="1:21">
      <c r="A148" s="1">
        <v>1106085824</v>
      </c>
      <c r="B148" s="1" t="s">
        <v>368</v>
      </c>
      <c r="C148" s="1" t="s">
        <v>369</v>
      </c>
      <c r="D148" s="15" cm="1">
        <f t="array" ref="D148">(SUMPRODUCT(_xlfn.XLOOKUP(TRIM(G148:N148), $X$2:$X$6, $Y$2:$Y$6, 0), $G$4:$N$4) + SUMPRODUCT(_xlfn.XLOOKUP(TRIM(P148:T148), $X$2:$X$6, $Y$2:$Y$6, 0), $P$4:$T$4)) / SUM($G$4:$N$4, $P$4:$T$4)</f>
        <v>3.3243243243243241</v>
      </c>
      <c r="E148" s="1" t="s">
        <v>313</v>
      </c>
      <c r="G148" s="16" t="s">
        <v>16</v>
      </c>
      <c r="H148" s="16" t="s">
        <v>15</v>
      </c>
      <c r="I148" s="16" t="s">
        <v>16</v>
      </c>
      <c r="J148" s="16" t="s">
        <v>14</v>
      </c>
      <c r="K148" s="16" t="s">
        <v>15</v>
      </c>
      <c r="L148" s="16" t="s">
        <v>14</v>
      </c>
      <c r="M148" s="16" t="s">
        <v>16</v>
      </c>
      <c r="N148" s="16" t="s">
        <v>17</v>
      </c>
      <c r="O148" s="15" cm="1">
        <f t="array" ref="O148">SUMPRODUCT(_xlfn.XLOOKUP(G148:N148, $X$2:$X$6, $Y$2:$Y$6,0), $G$4:$N$4) / SUM($G$4:$N$4)</f>
        <v>3.3181818181818183</v>
      </c>
      <c r="P148" s="1" t="s">
        <v>16</v>
      </c>
      <c r="Q148" s="1" t="s">
        <v>14</v>
      </c>
      <c r="R148" s="1" t="s">
        <v>15</v>
      </c>
      <c r="S148" s="1" t="s">
        <v>16</v>
      </c>
      <c r="T148" s="1" t="s">
        <v>15</v>
      </c>
      <c r="U148" s="15" cm="1">
        <f t="array" ref="U148">SUMPRODUCT(_xlfn.XLOOKUP(P148:T148, $X$2:$X$6, $Y$2:$Y$6, 0), $P$4:$T$4) / SUM($P$4:$T$4)</f>
        <v>3.3333333333333335</v>
      </c>
    </row>
    <row r="149" spans="1:21">
      <c r="A149" s="1">
        <v>1200245424</v>
      </c>
      <c r="B149" s="1" t="s">
        <v>370</v>
      </c>
      <c r="C149" s="1" t="s">
        <v>371</v>
      </c>
      <c r="D149" s="15" cm="1">
        <f t="array" ref="D149">(SUMPRODUCT(_xlfn.XLOOKUP(TRIM(G149:N149), $X$2:$X$6, $Y$2:$Y$6, 0), $G$4:$N$4) + SUMPRODUCT(_xlfn.XLOOKUP(TRIM(P149:T149), $X$2:$X$6, $Y$2:$Y$6, 0), $P$4:$T$4)) / SUM($G$4:$N$4, $P$4:$T$4)</f>
        <v>2.7837837837837838</v>
      </c>
      <c r="E149" s="1" t="s">
        <v>313</v>
      </c>
      <c r="G149" s="16" t="s">
        <v>17</v>
      </c>
      <c r="H149" s="16" t="s">
        <v>17</v>
      </c>
      <c r="I149" s="16" t="s">
        <v>17</v>
      </c>
      <c r="J149" s="16" t="s">
        <v>15</v>
      </c>
      <c r="K149" s="16" t="s">
        <v>16</v>
      </c>
      <c r="L149" s="16" t="s">
        <v>15</v>
      </c>
      <c r="M149" s="16" t="s">
        <v>15</v>
      </c>
      <c r="N149" s="16" t="s">
        <v>16</v>
      </c>
      <c r="O149" s="15" cm="1">
        <f t="array" ref="O149">SUMPRODUCT(_xlfn.XLOOKUP(G149:N149, $X$2:$X$6, $Y$2:$Y$6,0), $G$4:$N$4) / SUM($G$4:$N$4)</f>
        <v>2.7272727272727271</v>
      </c>
      <c r="P149" s="1" t="s">
        <v>17</v>
      </c>
      <c r="Q149" s="1" t="s">
        <v>17</v>
      </c>
      <c r="R149" s="1" t="s">
        <v>16</v>
      </c>
      <c r="S149" s="1" t="s">
        <v>15</v>
      </c>
      <c r="T149" s="1" t="s">
        <v>15</v>
      </c>
      <c r="U149" s="15" cm="1">
        <f t="array" ref="U149">SUMPRODUCT(_xlfn.XLOOKUP(P149:T149, $X$2:$X$6, $Y$2:$Y$6, 0), $P$4:$T$4) / SUM($P$4:$T$4)</f>
        <v>2.8666666666666667</v>
      </c>
    </row>
    <row r="150" spans="1:21">
      <c r="A150" s="1">
        <v>2100829824</v>
      </c>
      <c r="B150" s="1" t="s">
        <v>372</v>
      </c>
      <c r="C150" s="1" t="s">
        <v>373</v>
      </c>
      <c r="D150" s="15" cm="1">
        <f t="array" ref="D150">(SUMPRODUCT(_xlfn.XLOOKUP(TRIM(G150:N150), $X$2:$X$6, $Y$2:$Y$6, 0), $G$4:$N$4) + SUMPRODUCT(_xlfn.XLOOKUP(TRIM(P150:T150), $X$2:$X$6, $Y$2:$Y$6, 0), $P$4:$T$4)) / SUM($G$4:$N$4, $P$4:$T$4)</f>
        <v>3.1351351351351351</v>
      </c>
      <c r="E150" s="1" t="s">
        <v>313</v>
      </c>
      <c r="G150" s="16" t="s">
        <v>17</v>
      </c>
      <c r="H150" s="16" t="s">
        <v>14</v>
      </c>
      <c r="I150" s="16" t="s">
        <v>14</v>
      </c>
      <c r="J150" s="16" t="s">
        <v>14</v>
      </c>
      <c r="K150" s="16" t="s">
        <v>15</v>
      </c>
      <c r="L150" s="16" t="s">
        <v>15</v>
      </c>
      <c r="M150" s="16" t="s">
        <v>17</v>
      </c>
      <c r="N150" s="16" t="s">
        <v>14</v>
      </c>
      <c r="O150" s="15" cm="1">
        <f t="array" ref="O150">SUMPRODUCT(_xlfn.XLOOKUP(G150:N150, $X$2:$X$6, $Y$2:$Y$6,0), $G$4:$N$4) / SUM($G$4:$N$4)</f>
        <v>3.5454545454545454</v>
      </c>
      <c r="P150" s="1" t="s">
        <v>17</v>
      </c>
      <c r="Q150" s="1" t="s">
        <v>17</v>
      </c>
      <c r="R150" s="1" t="s">
        <v>17</v>
      </c>
      <c r="S150" s="1" t="s">
        <v>16</v>
      </c>
      <c r="T150" s="1" t="s">
        <v>14</v>
      </c>
      <c r="U150" s="15" cm="1">
        <f t="array" ref="U150">SUMPRODUCT(_xlfn.XLOOKUP(P150:T150, $X$2:$X$6, $Y$2:$Y$6, 0), $P$4:$T$4) / SUM($P$4:$T$4)</f>
        <v>2.5333333333333332</v>
      </c>
    </row>
    <row r="151" spans="1:21">
      <c r="A151" s="1">
        <v>1105055424</v>
      </c>
      <c r="B151" s="1" t="s">
        <v>374</v>
      </c>
      <c r="C151" s="1" t="s">
        <v>375</v>
      </c>
      <c r="D151" s="15" cm="1">
        <f t="array" ref="D151">(SUMPRODUCT(_xlfn.XLOOKUP(TRIM(G151:N151), $X$2:$X$6, $Y$2:$Y$6, 0), $G$4:$N$4) + SUMPRODUCT(_xlfn.XLOOKUP(TRIM(P151:T151), $X$2:$X$6, $Y$2:$Y$6, 0), $P$4:$T$4)) / SUM($G$4:$N$4, $P$4:$T$4)</f>
        <v>3.3243243243243241</v>
      </c>
      <c r="E151" s="1" t="s">
        <v>313</v>
      </c>
      <c r="G151" s="16" t="s">
        <v>14</v>
      </c>
      <c r="H151" s="16" t="s">
        <v>16</v>
      </c>
      <c r="I151" s="16" t="s">
        <v>16</v>
      </c>
      <c r="J151" s="16" t="s">
        <v>14</v>
      </c>
      <c r="K151" s="16" t="s">
        <v>16</v>
      </c>
      <c r="L151" s="16" t="s">
        <v>17</v>
      </c>
      <c r="M151" s="16" t="s">
        <v>15</v>
      </c>
      <c r="N151" s="16" t="s">
        <v>17</v>
      </c>
      <c r="O151" s="15" cm="1">
        <f t="array" ref="O151">SUMPRODUCT(_xlfn.XLOOKUP(G151:N151, $X$2:$X$6, $Y$2:$Y$6,0), $G$4:$N$4) / SUM($G$4:$N$4)</f>
        <v>3.1363636363636362</v>
      </c>
      <c r="P151" s="1" t="s">
        <v>14</v>
      </c>
      <c r="Q151" s="1" t="s">
        <v>16</v>
      </c>
      <c r="R151" s="1" t="s">
        <v>15</v>
      </c>
      <c r="S151" s="1" t="s">
        <v>14</v>
      </c>
      <c r="T151" s="1" t="s">
        <v>16</v>
      </c>
      <c r="U151" s="15" cm="1">
        <f t="array" ref="U151">SUMPRODUCT(_xlfn.XLOOKUP(P151:T151, $X$2:$X$6, $Y$2:$Y$6, 0), $P$4:$T$4) / SUM($P$4:$T$4)</f>
        <v>3.6</v>
      </c>
    </row>
    <row r="152" spans="1:21">
      <c r="A152" s="1">
        <v>1105637424</v>
      </c>
      <c r="B152" s="1" t="s">
        <v>376</v>
      </c>
      <c r="C152" s="1" t="s">
        <v>377</v>
      </c>
      <c r="D152" s="15" cm="1">
        <f t="array" ref="D152">(SUMPRODUCT(_xlfn.XLOOKUP(TRIM(G152:N152), $X$2:$X$6, $Y$2:$Y$6, 0), $G$4:$N$4) + SUMPRODUCT(_xlfn.XLOOKUP(TRIM(P152:T152), $X$2:$X$6, $Y$2:$Y$6, 0), $P$4:$T$4)) / SUM($G$4:$N$4, $P$4:$T$4)</f>
        <v>3.3783783783783785</v>
      </c>
      <c r="E152" s="1" t="s">
        <v>313</v>
      </c>
      <c r="G152" s="16" t="s">
        <v>15</v>
      </c>
      <c r="H152" s="16" t="s">
        <v>15</v>
      </c>
      <c r="I152" s="16" t="s">
        <v>16</v>
      </c>
      <c r="J152" s="16" t="s">
        <v>15</v>
      </c>
      <c r="K152" s="16" t="s">
        <v>14</v>
      </c>
      <c r="L152" s="16" t="s">
        <v>16</v>
      </c>
      <c r="M152" s="16" t="s">
        <v>17</v>
      </c>
      <c r="N152" s="16" t="s">
        <v>14</v>
      </c>
      <c r="O152" s="15" cm="1">
        <f t="array" ref="O152">SUMPRODUCT(_xlfn.XLOOKUP(G152:N152, $X$2:$X$6, $Y$2:$Y$6,0), $G$4:$N$4) / SUM($G$4:$N$4)</f>
        <v>3.3181818181818183</v>
      </c>
      <c r="P152" s="1" t="s">
        <v>14</v>
      </c>
      <c r="Q152" s="1" t="s">
        <v>16</v>
      </c>
      <c r="R152" s="1" t="s">
        <v>16</v>
      </c>
      <c r="S152" s="1" t="s">
        <v>15</v>
      </c>
      <c r="T152" s="1" t="s">
        <v>14</v>
      </c>
      <c r="U152" s="15" cm="1">
        <f t="array" ref="U152">SUMPRODUCT(_xlfn.XLOOKUP(P152:T152, $X$2:$X$6, $Y$2:$Y$6, 0), $P$4:$T$4) / SUM($P$4:$T$4)</f>
        <v>3.4666666666666668</v>
      </c>
    </row>
    <row r="153" spans="1:21">
      <c r="A153" s="1">
        <v>2100461024</v>
      </c>
      <c r="B153" s="1" t="s">
        <v>378</v>
      </c>
      <c r="C153" s="1" t="s">
        <v>379</v>
      </c>
      <c r="D153" s="15" cm="1">
        <f t="array" ref="D153">(SUMPRODUCT(_xlfn.XLOOKUP(TRIM(G153:N153), $X$2:$X$6, $Y$2:$Y$6, 0), $G$4:$N$4) + SUMPRODUCT(_xlfn.XLOOKUP(TRIM(P153:T153), $X$2:$X$6, $Y$2:$Y$6, 0), $P$4:$T$4)) / SUM($G$4:$N$4, $P$4:$T$4)</f>
        <v>3.2027027027027026</v>
      </c>
      <c r="E153" s="1" t="s">
        <v>313</v>
      </c>
      <c r="G153" s="16" t="s">
        <v>15</v>
      </c>
      <c r="H153" s="16" t="s">
        <v>14</v>
      </c>
      <c r="I153" s="16" t="s">
        <v>14</v>
      </c>
      <c r="J153" s="16" t="s">
        <v>17</v>
      </c>
      <c r="K153" s="16" t="s">
        <v>14</v>
      </c>
      <c r="L153" s="16" t="s">
        <v>15</v>
      </c>
      <c r="M153" s="16" t="s">
        <v>15</v>
      </c>
      <c r="N153" s="16" t="s">
        <v>17</v>
      </c>
      <c r="O153" s="15" cm="1">
        <f t="array" ref="O153">SUMPRODUCT(_xlfn.XLOOKUP(G153:N153, $X$2:$X$6, $Y$2:$Y$6,0), $G$4:$N$4) / SUM($G$4:$N$4)</f>
        <v>3.3181818181818183</v>
      </c>
      <c r="P153" s="1" t="s">
        <v>15</v>
      </c>
      <c r="Q153" s="1" t="s">
        <v>16</v>
      </c>
      <c r="R153" s="1" t="s">
        <v>17</v>
      </c>
      <c r="S153" s="1" t="s">
        <v>15</v>
      </c>
      <c r="T153" s="1" t="s">
        <v>15</v>
      </c>
      <c r="U153" s="15" cm="1">
        <f t="array" ref="U153">SUMPRODUCT(_xlfn.XLOOKUP(P153:T153, $X$2:$X$6, $Y$2:$Y$6, 0), $P$4:$T$4) / SUM($P$4:$T$4)</f>
        <v>3.0333333333333332</v>
      </c>
    </row>
    <row r="154" spans="1:21">
      <c r="A154" s="1">
        <v>1190105124</v>
      </c>
      <c r="B154" s="1" t="s">
        <v>380</v>
      </c>
      <c r="C154" s="1" t="s">
        <v>381</v>
      </c>
      <c r="D154" s="15" cm="1">
        <f t="array" ref="D154">(SUMPRODUCT(_xlfn.XLOOKUP(TRIM(G154:N154), $X$2:$X$6, $Y$2:$Y$6, 0), $G$4:$N$4) + SUMPRODUCT(_xlfn.XLOOKUP(TRIM(P154:T154), $X$2:$X$6, $Y$2:$Y$6, 0), $P$4:$T$4)) / SUM($G$4:$N$4, $P$4:$T$4)</f>
        <v>3.1081081081081079</v>
      </c>
      <c r="E154" s="1" t="s">
        <v>313</v>
      </c>
      <c r="G154" s="16" t="s">
        <v>16</v>
      </c>
      <c r="H154" s="16" t="s">
        <v>17</v>
      </c>
      <c r="I154" s="16" t="s">
        <v>16</v>
      </c>
      <c r="J154" s="16" t="s">
        <v>17</v>
      </c>
      <c r="K154" s="16" t="s">
        <v>17</v>
      </c>
      <c r="L154" s="16" t="s">
        <v>14</v>
      </c>
      <c r="M154" s="16" t="s">
        <v>15</v>
      </c>
      <c r="N154" s="16" t="s">
        <v>15</v>
      </c>
      <c r="O154" s="15" cm="1">
        <f t="array" ref="O154">SUMPRODUCT(_xlfn.XLOOKUP(G154:N154, $X$2:$X$6, $Y$2:$Y$6,0), $G$4:$N$4) / SUM($G$4:$N$4)</f>
        <v>2.7272727272727271</v>
      </c>
      <c r="P154" s="1" t="s">
        <v>14</v>
      </c>
      <c r="Q154" s="1" t="s">
        <v>16</v>
      </c>
      <c r="R154" s="1" t="s">
        <v>14</v>
      </c>
      <c r="S154" s="1" t="s">
        <v>15</v>
      </c>
      <c r="T154" s="1" t="s">
        <v>15</v>
      </c>
      <c r="U154" s="15" cm="1">
        <f t="array" ref="U154">SUMPRODUCT(_xlfn.XLOOKUP(P154:T154, $X$2:$X$6, $Y$2:$Y$6, 0), $P$4:$T$4) / SUM($P$4:$T$4)</f>
        <v>3.6666666666666665</v>
      </c>
    </row>
    <row r="155" spans="1:21">
      <c r="A155" s="1">
        <v>1100971524</v>
      </c>
      <c r="B155" s="1" t="s">
        <v>382</v>
      </c>
      <c r="C155" s="1" t="s">
        <v>383</v>
      </c>
      <c r="D155" s="15" cm="1">
        <f t="array" ref="D155">(SUMPRODUCT(_xlfn.XLOOKUP(TRIM(G155:N155), $X$2:$X$6, $Y$2:$Y$6, 0), $G$4:$N$4) + SUMPRODUCT(_xlfn.XLOOKUP(TRIM(P155:T155), $X$2:$X$6, $Y$2:$Y$6, 0), $P$4:$T$4)) / SUM($G$4:$N$4, $P$4:$T$4)</f>
        <v>3.5</v>
      </c>
      <c r="E155" s="1" t="s">
        <v>313</v>
      </c>
      <c r="G155" s="16" t="s">
        <v>14</v>
      </c>
      <c r="H155" s="16" t="s">
        <v>14</v>
      </c>
      <c r="I155" s="16" t="s">
        <v>14</v>
      </c>
      <c r="J155" s="16" t="s">
        <v>15</v>
      </c>
      <c r="K155" s="16" t="s">
        <v>14</v>
      </c>
      <c r="L155" s="16" t="s">
        <v>14</v>
      </c>
      <c r="M155" s="16" t="s">
        <v>16</v>
      </c>
      <c r="N155" s="16" t="s">
        <v>14</v>
      </c>
      <c r="O155" s="15" cm="1">
        <f t="array" ref="O155">SUMPRODUCT(_xlfn.XLOOKUP(G155:N155, $X$2:$X$6, $Y$2:$Y$6,0), $G$4:$N$4) / SUM($G$4:$N$4)</f>
        <v>3.8181818181818183</v>
      </c>
      <c r="P155" s="1" t="s">
        <v>15</v>
      </c>
      <c r="Q155" s="1" t="s">
        <v>16</v>
      </c>
      <c r="R155" s="1" t="s">
        <v>17</v>
      </c>
      <c r="S155" s="1" t="s">
        <v>15</v>
      </c>
      <c r="T155" s="1" t="s">
        <v>15</v>
      </c>
      <c r="U155" s="15" cm="1">
        <f t="array" ref="U155">SUMPRODUCT(_xlfn.XLOOKUP(P155:T155, $X$2:$X$6, $Y$2:$Y$6, 0), $P$4:$T$4) / SUM($P$4:$T$4)</f>
        <v>3.0333333333333332</v>
      </c>
    </row>
    <row r="156" spans="1:21">
      <c r="A156" s="1">
        <v>1103985824</v>
      </c>
      <c r="B156" s="1" t="s">
        <v>384</v>
      </c>
      <c r="C156" s="1" t="s">
        <v>385</v>
      </c>
      <c r="D156" s="15" cm="1">
        <f t="array" ref="D156">(SUMPRODUCT(_xlfn.XLOOKUP(TRIM(G156:N156), $X$2:$X$6, $Y$2:$Y$6, 0), $G$4:$N$4) + SUMPRODUCT(_xlfn.XLOOKUP(TRIM(P156:T156), $X$2:$X$6, $Y$2:$Y$6, 0), $P$4:$T$4)) / SUM($G$4:$N$4, $P$4:$T$4)</f>
        <v>2.6486486486486487</v>
      </c>
      <c r="E156" s="1" t="s">
        <v>313</v>
      </c>
      <c r="G156" s="16" t="s">
        <v>17</v>
      </c>
      <c r="H156" s="16" t="s">
        <v>15</v>
      </c>
      <c r="I156" s="16" t="s">
        <v>17</v>
      </c>
      <c r="J156" s="16" t="s">
        <v>17</v>
      </c>
      <c r="K156" s="16" t="s">
        <v>15</v>
      </c>
      <c r="L156" s="16" t="s">
        <v>14</v>
      </c>
      <c r="M156" s="16" t="s">
        <v>14</v>
      </c>
      <c r="N156" s="16" t="s">
        <v>17</v>
      </c>
      <c r="O156" s="15" cm="1">
        <f t="array" ref="O156">SUMPRODUCT(_xlfn.XLOOKUP(G156:N156, $X$2:$X$6, $Y$2:$Y$6,0), $G$4:$N$4) / SUM($G$4:$N$4)</f>
        <v>2.7727272727272729</v>
      </c>
      <c r="P156" s="1" t="s">
        <v>16</v>
      </c>
      <c r="Q156" s="1" t="s">
        <v>17</v>
      </c>
      <c r="R156" s="1" t="s">
        <v>17</v>
      </c>
      <c r="S156" s="1" t="s">
        <v>17</v>
      </c>
      <c r="T156" s="1" t="s">
        <v>14</v>
      </c>
      <c r="U156" s="15" cm="1">
        <f t="array" ref="U156">SUMPRODUCT(_xlfn.XLOOKUP(P156:T156, $X$2:$X$6, $Y$2:$Y$6, 0), $P$4:$T$4) / SUM($P$4:$T$4)</f>
        <v>2.4666666666666668</v>
      </c>
    </row>
    <row r="157" spans="1:21">
      <c r="A157" s="1">
        <v>2200018924</v>
      </c>
      <c r="B157" s="1" t="s">
        <v>386</v>
      </c>
      <c r="C157" s="1" t="s">
        <v>387</v>
      </c>
      <c r="D157" s="15" cm="1">
        <f t="array" ref="D157">(SUMPRODUCT(_xlfn.XLOOKUP(TRIM(G157:N157), $X$2:$X$6, $Y$2:$Y$6, 0), $G$4:$N$4) + SUMPRODUCT(_xlfn.XLOOKUP(TRIM(P157:T157), $X$2:$X$6, $Y$2:$Y$6, 0), $P$4:$T$4)) / SUM($G$4:$N$4, $P$4:$T$4)</f>
        <v>3.0810810810810811</v>
      </c>
      <c r="E157" s="1" t="s">
        <v>313</v>
      </c>
      <c r="G157" s="16" t="s">
        <v>14</v>
      </c>
      <c r="H157" s="16" t="s">
        <v>14</v>
      </c>
      <c r="I157" s="16" t="s">
        <v>17</v>
      </c>
      <c r="J157" s="16" t="s">
        <v>16</v>
      </c>
      <c r="K157" s="16" t="s">
        <v>14</v>
      </c>
      <c r="L157" s="16" t="s">
        <v>15</v>
      </c>
      <c r="M157" s="16" t="s">
        <v>15</v>
      </c>
      <c r="N157" s="16" t="s">
        <v>15</v>
      </c>
      <c r="O157" s="15" cm="1">
        <f t="array" ref="O157">SUMPRODUCT(_xlfn.XLOOKUP(G157:N157, $X$2:$X$6, $Y$2:$Y$6,0), $G$4:$N$4) / SUM($G$4:$N$4)</f>
        <v>3.3181818181818183</v>
      </c>
      <c r="P157" s="1" t="s">
        <v>17</v>
      </c>
      <c r="Q157" s="1" t="s">
        <v>15</v>
      </c>
      <c r="R157" s="1" t="s">
        <v>17</v>
      </c>
      <c r="S157" s="1" t="s">
        <v>15</v>
      </c>
      <c r="T157" s="1" t="s">
        <v>16</v>
      </c>
      <c r="U157" s="15" cm="1">
        <f t="array" ref="U157">SUMPRODUCT(_xlfn.XLOOKUP(P157:T157, $X$2:$X$6, $Y$2:$Y$6, 0), $P$4:$T$4) / SUM($P$4:$T$4)</f>
        <v>2.7333333333333334</v>
      </c>
    </row>
    <row r="158" spans="1:21">
      <c r="A158" s="1">
        <v>1102428024</v>
      </c>
      <c r="B158" s="1" t="s">
        <v>388</v>
      </c>
      <c r="C158" s="1" t="s">
        <v>389</v>
      </c>
      <c r="D158" s="15" cm="1">
        <f t="array" ref="D158">(SUMPRODUCT(_xlfn.XLOOKUP(TRIM(G158:N158), $X$2:$X$6, $Y$2:$Y$6, 0), $G$4:$N$4) + SUMPRODUCT(_xlfn.XLOOKUP(TRIM(P158:T158), $X$2:$X$6, $Y$2:$Y$6, 0), $P$4:$T$4)) / SUM($G$4:$N$4, $P$4:$T$4)</f>
        <v>3.0135135135135136</v>
      </c>
      <c r="E158" s="1" t="s">
        <v>313</v>
      </c>
      <c r="G158" s="16" t="s">
        <v>17</v>
      </c>
      <c r="H158" s="16" t="s">
        <v>15</v>
      </c>
      <c r="I158" s="16" t="s">
        <v>14</v>
      </c>
      <c r="J158" s="16" t="s">
        <v>17</v>
      </c>
      <c r="K158" s="16" t="s">
        <v>14</v>
      </c>
      <c r="L158" s="16" t="s">
        <v>14</v>
      </c>
      <c r="M158" s="16" t="s">
        <v>14</v>
      </c>
      <c r="N158" s="16" t="s">
        <v>14</v>
      </c>
      <c r="O158" s="15" cm="1">
        <f t="array" ref="O158">SUMPRODUCT(_xlfn.XLOOKUP(G158:N158, $X$2:$X$6, $Y$2:$Y$6,0), $G$4:$N$4) / SUM($G$4:$N$4)</f>
        <v>3.3636363636363638</v>
      </c>
      <c r="P158" s="1" t="s">
        <v>15</v>
      </c>
      <c r="Q158" s="1" t="s">
        <v>15</v>
      </c>
      <c r="R158" s="1" t="s">
        <v>17</v>
      </c>
      <c r="S158" s="1" t="s">
        <v>17</v>
      </c>
      <c r="T158" s="1" t="s">
        <v>17</v>
      </c>
      <c r="U158" s="15" cm="1">
        <f t="array" ref="U158">SUMPRODUCT(_xlfn.XLOOKUP(P158:T158, $X$2:$X$6, $Y$2:$Y$6, 0), $P$4:$T$4) / SUM($P$4:$T$4)</f>
        <v>2.5</v>
      </c>
    </row>
    <row r="159" spans="1:21">
      <c r="A159" s="1">
        <v>1106392224</v>
      </c>
      <c r="B159" s="1" t="s">
        <v>390</v>
      </c>
      <c r="C159" s="1" t="s">
        <v>391</v>
      </c>
      <c r="D159" s="15" cm="1">
        <f t="array" ref="D159">(SUMPRODUCT(_xlfn.XLOOKUP(TRIM(G159:N159), $X$2:$X$6, $Y$2:$Y$6, 0), $G$4:$N$4) + SUMPRODUCT(_xlfn.XLOOKUP(TRIM(P159:T159), $X$2:$X$6, $Y$2:$Y$6, 0), $P$4:$T$4)) / SUM($G$4:$N$4, $P$4:$T$4)</f>
        <v>2.7567567567567566</v>
      </c>
      <c r="E159" s="1" t="s">
        <v>313</v>
      </c>
      <c r="G159" s="16" t="s">
        <v>15</v>
      </c>
      <c r="H159" s="16" t="s">
        <v>17</v>
      </c>
      <c r="I159" s="16" t="s">
        <v>14</v>
      </c>
      <c r="J159" s="16" t="s">
        <v>15</v>
      </c>
      <c r="K159" s="16" t="s">
        <v>17</v>
      </c>
      <c r="L159" s="16" t="s">
        <v>14</v>
      </c>
      <c r="M159" s="16" t="s">
        <v>17</v>
      </c>
      <c r="N159" s="16" t="s">
        <v>16</v>
      </c>
      <c r="O159" s="15" cm="1">
        <f t="array" ref="O159">SUMPRODUCT(_xlfn.XLOOKUP(G159:N159, $X$2:$X$6, $Y$2:$Y$6,0), $G$4:$N$4) / SUM($G$4:$N$4)</f>
        <v>3.0454545454545454</v>
      </c>
      <c r="P159" s="1" t="s">
        <v>17</v>
      </c>
      <c r="Q159" s="1" t="s">
        <v>16</v>
      </c>
      <c r="R159" s="1" t="s">
        <v>17</v>
      </c>
      <c r="S159" s="1" t="s">
        <v>17</v>
      </c>
      <c r="T159" s="1" t="s">
        <v>15</v>
      </c>
      <c r="U159" s="15" cm="1">
        <f t="array" ref="U159">SUMPRODUCT(_xlfn.XLOOKUP(P159:T159, $X$2:$X$6, $Y$2:$Y$6, 0), $P$4:$T$4) / SUM($P$4:$T$4)</f>
        <v>2.3333333333333335</v>
      </c>
    </row>
    <row r="160" spans="1:21">
      <c r="A160" s="1">
        <v>1102991024</v>
      </c>
      <c r="B160" s="1" t="s">
        <v>392</v>
      </c>
      <c r="C160" s="1" t="s">
        <v>393</v>
      </c>
      <c r="D160" s="15" cm="1">
        <f t="array" ref="D160">(SUMPRODUCT(_xlfn.XLOOKUP(TRIM(G160:N160), $X$2:$X$6, $Y$2:$Y$6, 0), $G$4:$N$4) + SUMPRODUCT(_xlfn.XLOOKUP(TRIM(P160:T160), $X$2:$X$6, $Y$2:$Y$6, 0), $P$4:$T$4)) / SUM($G$4:$N$4, $P$4:$T$4)</f>
        <v>3.5405405405405403</v>
      </c>
      <c r="E160" s="1" t="s">
        <v>313</v>
      </c>
      <c r="G160" s="16" t="s">
        <v>15</v>
      </c>
      <c r="H160" s="16" t="s">
        <v>16</v>
      </c>
      <c r="I160" s="16" t="s">
        <v>15</v>
      </c>
      <c r="J160" s="16" t="s">
        <v>14</v>
      </c>
      <c r="K160" s="16" t="s">
        <v>14</v>
      </c>
      <c r="L160" s="16" t="s">
        <v>16</v>
      </c>
      <c r="M160" s="16" t="s">
        <v>14</v>
      </c>
      <c r="N160" s="16" t="s">
        <v>14</v>
      </c>
      <c r="O160" s="15" cm="1">
        <f t="array" ref="O160">SUMPRODUCT(_xlfn.XLOOKUP(G160:N160, $X$2:$X$6, $Y$2:$Y$6,0), $G$4:$N$4) / SUM($G$4:$N$4)</f>
        <v>3.5909090909090908</v>
      </c>
      <c r="P160" s="1" t="s">
        <v>17</v>
      </c>
      <c r="Q160" s="1" t="s">
        <v>15</v>
      </c>
      <c r="R160" s="1" t="s">
        <v>14</v>
      </c>
      <c r="S160" s="1" t="s">
        <v>14</v>
      </c>
      <c r="T160" s="1" t="s">
        <v>15</v>
      </c>
      <c r="U160" s="15" cm="1">
        <f t="array" ref="U160">SUMPRODUCT(_xlfn.XLOOKUP(P160:T160, $X$2:$X$6, $Y$2:$Y$6, 0), $P$4:$T$4) / SUM($P$4:$T$4)</f>
        <v>3.4666666666666668</v>
      </c>
    </row>
    <row r="161" spans="1:21">
      <c r="A161" s="1">
        <v>2100353924</v>
      </c>
      <c r="B161" s="1" t="s">
        <v>394</v>
      </c>
      <c r="C161" s="1" t="s">
        <v>395</v>
      </c>
      <c r="D161" s="15" cm="1">
        <f t="array" ref="D161">(SUMPRODUCT(_xlfn.XLOOKUP(TRIM(G161:N161), $X$2:$X$6, $Y$2:$Y$6, 0), $G$4:$N$4) + SUMPRODUCT(_xlfn.XLOOKUP(TRIM(P161:T161), $X$2:$X$6, $Y$2:$Y$6, 0), $P$4:$T$4)) / SUM($G$4:$N$4, $P$4:$T$4)</f>
        <v>3.2702702702702702</v>
      </c>
      <c r="E161" s="1" t="s">
        <v>313</v>
      </c>
      <c r="G161" s="16" t="s">
        <v>14</v>
      </c>
      <c r="H161" s="16" t="s">
        <v>14</v>
      </c>
      <c r="I161" s="16" t="s">
        <v>15</v>
      </c>
      <c r="J161" s="16" t="s">
        <v>17</v>
      </c>
      <c r="K161" s="16" t="s">
        <v>14</v>
      </c>
      <c r="L161" s="16" t="s">
        <v>15</v>
      </c>
      <c r="M161" s="16" t="s">
        <v>14</v>
      </c>
      <c r="N161" s="16" t="s">
        <v>14</v>
      </c>
      <c r="O161" s="15" cm="1">
        <f t="array" ref="O161">SUMPRODUCT(_xlfn.XLOOKUP(G161:N161, $X$2:$X$6, $Y$2:$Y$6,0), $G$4:$N$4) / SUM($G$4:$N$4)</f>
        <v>3.5</v>
      </c>
      <c r="P161" s="1" t="s">
        <v>17</v>
      </c>
      <c r="Q161" s="1" t="s">
        <v>16</v>
      </c>
      <c r="R161" s="1" t="s">
        <v>16</v>
      </c>
      <c r="S161" s="1" t="s">
        <v>15</v>
      </c>
      <c r="T161" s="1" t="s">
        <v>16</v>
      </c>
      <c r="U161" s="15" cm="1">
        <f t="array" ref="U161">SUMPRODUCT(_xlfn.XLOOKUP(P161:T161, $X$2:$X$6, $Y$2:$Y$6, 0), $P$4:$T$4) / SUM($P$4:$T$4)</f>
        <v>2.9333333333333331</v>
      </c>
    </row>
    <row r="162" spans="1:21">
      <c r="A162" s="1">
        <v>2190025224</v>
      </c>
      <c r="B162" s="1" t="s">
        <v>396</v>
      </c>
      <c r="C162" s="1" t="s">
        <v>397</v>
      </c>
      <c r="D162" s="15" cm="1">
        <f t="array" ref="D162">(SUMPRODUCT(_xlfn.XLOOKUP(TRIM(G162:N162), $X$2:$X$6, $Y$2:$Y$6, 0), $G$4:$N$4) + SUMPRODUCT(_xlfn.XLOOKUP(TRIM(P162:T162), $X$2:$X$6, $Y$2:$Y$6, 0), $P$4:$T$4)) / SUM($G$4:$N$4, $P$4:$T$4)</f>
        <v>3.2432432432432434</v>
      </c>
      <c r="E162" s="1" t="s">
        <v>313</v>
      </c>
      <c r="G162" s="16" t="s">
        <v>15</v>
      </c>
      <c r="H162" s="16" t="s">
        <v>16</v>
      </c>
      <c r="I162" s="16" t="s">
        <v>17</v>
      </c>
      <c r="J162" s="16" t="s">
        <v>15</v>
      </c>
      <c r="K162" s="16" t="s">
        <v>16</v>
      </c>
      <c r="L162" s="16" t="s">
        <v>17</v>
      </c>
      <c r="M162" s="16" t="s">
        <v>16</v>
      </c>
      <c r="N162" s="16" t="s">
        <v>14</v>
      </c>
      <c r="O162" s="15" cm="1">
        <f t="array" ref="O162">SUMPRODUCT(_xlfn.XLOOKUP(G162:N162, $X$2:$X$6, $Y$2:$Y$6,0), $G$4:$N$4) / SUM($G$4:$N$4)</f>
        <v>2.9545454545454546</v>
      </c>
      <c r="P162" s="1" t="s">
        <v>14</v>
      </c>
      <c r="Q162" s="1" t="s">
        <v>17</v>
      </c>
      <c r="R162" s="1" t="s">
        <v>14</v>
      </c>
      <c r="S162" s="1" t="s">
        <v>14</v>
      </c>
      <c r="T162" s="1" t="s">
        <v>15</v>
      </c>
      <c r="U162" s="15" cm="1">
        <f t="array" ref="U162">SUMPRODUCT(_xlfn.XLOOKUP(P162:T162, $X$2:$X$6, $Y$2:$Y$6, 0), $P$4:$T$4) / SUM($P$4:$T$4)</f>
        <v>3.6666666666666665</v>
      </c>
    </row>
    <row r="163" spans="1:21">
      <c r="A163" s="1">
        <v>2200119824</v>
      </c>
      <c r="B163" s="1" t="s">
        <v>398</v>
      </c>
      <c r="C163" s="1" t="s">
        <v>399</v>
      </c>
      <c r="D163" s="15" cm="1">
        <f t="array" ref="D163">(SUMPRODUCT(_xlfn.XLOOKUP(TRIM(G163:N163), $X$2:$X$6, $Y$2:$Y$6, 0), $G$4:$N$4) + SUMPRODUCT(_xlfn.XLOOKUP(TRIM(P163:T163), $X$2:$X$6, $Y$2:$Y$6, 0), $P$4:$T$4)) / SUM($G$4:$N$4, $P$4:$T$4)</f>
        <v>3.2972972972972974</v>
      </c>
      <c r="E163" s="1" t="s">
        <v>313</v>
      </c>
      <c r="G163" s="16" t="s">
        <v>16</v>
      </c>
      <c r="H163" s="16" t="s">
        <v>15</v>
      </c>
      <c r="I163" s="16" t="s">
        <v>16</v>
      </c>
      <c r="J163" s="16" t="s">
        <v>14</v>
      </c>
      <c r="K163" s="16" t="s">
        <v>15</v>
      </c>
      <c r="L163" s="16" t="s">
        <v>16</v>
      </c>
      <c r="M163" s="16" t="s">
        <v>16</v>
      </c>
      <c r="N163" s="16" t="s">
        <v>15</v>
      </c>
      <c r="O163" s="15" cm="1">
        <f t="array" ref="O163">SUMPRODUCT(_xlfn.XLOOKUP(G163:N163, $X$2:$X$6, $Y$2:$Y$6,0), $G$4:$N$4) / SUM($G$4:$N$4)</f>
        <v>3.3636363636363638</v>
      </c>
      <c r="P163" s="1" t="s">
        <v>17</v>
      </c>
      <c r="Q163" s="1" t="s">
        <v>16</v>
      </c>
      <c r="R163" s="1" t="s">
        <v>14</v>
      </c>
      <c r="S163" s="1" t="s">
        <v>16</v>
      </c>
      <c r="T163" s="1" t="s">
        <v>14</v>
      </c>
      <c r="U163" s="15" cm="1">
        <f t="array" ref="U163">SUMPRODUCT(_xlfn.XLOOKUP(P163:T163, $X$2:$X$6, $Y$2:$Y$6, 0), $P$4:$T$4) / SUM($P$4:$T$4)</f>
        <v>3.2</v>
      </c>
    </row>
    <row r="164" spans="1:21">
      <c r="A164" s="1">
        <v>2200024224</v>
      </c>
      <c r="B164" s="1" t="s">
        <v>400</v>
      </c>
      <c r="C164" s="1" t="s">
        <v>401</v>
      </c>
      <c r="D164" s="15" cm="1">
        <f t="array" ref="D164">(SUMPRODUCT(_xlfn.XLOOKUP(TRIM(G164:N164), $X$2:$X$6, $Y$2:$Y$6, 0), $G$4:$N$4) + SUMPRODUCT(_xlfn.XLOOKUP(TRIM(P164:T164), $X$2:$X$6, $Y$2:$Y$6, 0), $P$4:$T$4)) / SUM($G$4:$N$4, $P$4:$T$4)</f>
        <v>3.2162162162162162</v>
      </c>
      <c r="E164" s="1" t="s">
        <v>313</v>
      </c>
      <c r="G164" s="16" t="s">
        <v>15</v>
      </c>
      <c r="H164" s="16" t="s">
        <v>16</v>
      </c>
      <c r="I164" s="16" t="s">
        <v>14</v>
      </c>
      <c r="J164" s="16" t="s">
        <v>14</v>
      </c>
      <c r="K164" s="16" t="s">
        <v>15</v>
      </c>
      <c r="L164" s="16" t="s">
        <v>16</v>
      </c>
      <c r="M164" s="16" t="s">
        <v>16</v>
      </c>
      <c r="N164" s="16" t="s">
        <v>15</v>
      </c>
      <c r="O164" s="15" cm="1">
        <f t="array" ref="O164">SUMPRODUCT(_xlfn.XLOOKUP(G164:N164, $X$2:$X$6, $Y$2:$Y$6,0), $G$4:$N$4) / SUM($G$4:$N$4)</f>
        <v>3.5</v>
      </c>
      <c r="P164" s="1" t="s">
        <v>16</v>
      </c>
      <c r="Q164" s="1" t="s">
        <v>15</v>
      </c>
      <c r="R164" s="1" t="s">
        <v>16</v>
      </c>
      <c r="S164" s="1" t="s">
        <v>17</v>
      </c>
      <c r="T164" s="1" t="s">
        <v>16</v>
      </c>
      <c r="U164" s="15" cm="1">
        <f t="array" ref="U164">SUMPRODUCT(_xlfn.XLOOKUP(P164:T164, $X$2:$X$6, $Y$2:$Y$6, 0), $P$4:$T$4) / SUM($P$4:$T$4)</f>
        <v>2.8</v>
      </c>
    </row>
    <row r="165" spans="1:21">
      <c r="A165" s="1">
        <v>1105035124</v>
      </c>
      <c r="B165" s="1" t="s">
        <v>402</v>
      </c>
      <c r="C165" s="1" t="s">
        <v>403</v>
      </c>
      <c r="D165" s="15" cm="1">
        <f t="array" ref="D165">(SUMPRODUCT(_xlfn.XLOOKUP(TRIM(G165:N165), $X$2:$X$6, $Y$2:$Y$6, 0), $G$4:$N$4) + SUMPRODUCT(_xlfn.XLOOKUP(TRIM(P165:T165), $X$2:$X$6, $Y$2:$Y$6, 0), $P$4:$T$4)) / SUM($G$4:$N$4, $P$4:$T$4)</f>
        <v>3.0540540540540539</v>
      </c>
      <c r="E165" s="1" t="s">
        <v>313</v>
      </c>
      <c r="G165" s="16" t="s">
        <v>14</v>
      </c>
      <c r="H165" s="16" t="s">
        <v>14</v>
      </c>
      <c r="I165" s="16" t="s">
        <v>17</v>
      </c>
      <c r="J165" s="16" t="s">
        <v>16</v>
      </c>
      <c r="K165" s="16" t="s">
        <v>14</v>
      </c>
      <c r="L165" s="16" t="s">
        <v>14</v>
      </c>
      <c r="M165" s="16" t="s">
        <v>16</v>
      </c>
      <c r="N165" s="16" t="s">
        <v>15</v>
      </c>
      <c r="O165" s="15" cm="1">
        <f t="array" ref="O165">SUMPRODUCT(_xlfn.XLOOKUP(G165:N165, $X$2:$X$6, $Y$2:$Y$6,0), $G$4:$N$4) / SUM($G$4:$N$4)</f>
        <v>3.3181818181818183</v>
      </c>
      <c r="P165" s="1" t="s">
        <v>16</v>
      </c>
      <c r="Q165" s="1" t="s">
        <v>15</v>
      </c>
      <c r="R165" s="1" t="s">
        <v>17</v>
      </c>
      <c r="S165" s="1" t="s">
        <v>17</v>
      </c>
      <c r="T165" s="1" t="s">
        <v>14</v>
      </c>
      <c r="U165" s="15" cm="1">
        <f t="array" ref="U165">SUMPRODUCT(_xlfn.XLOOKUP(P165:T165, $X$2:$X$6, $Y$2:$Y$6, 0), $P$4:$T$4) / SUM($P$4:$T$4)</f>
        <v>2.6666666666666665</v>
      </c>
    </row>
    <row r="166" spans="1:21">
      <c r="A166" s="1">
        <v>1101431024</v>
      </c>
      <c r="B166" s="1" t="s">
        <v>404</v>
      </c>
      <c r="C166" s="1" t="s">
        <v>405</v>
      </c>
      <c r="D166" s="15" cm="1">
        <f t="array" ref="D166">(SUMPRODUCT(_xlfn.XLOOKUP(TRIM(G166:N166), $X$2:$X$6, $Y$2:$Y$6, 0), $G$4:$N$4) + SUMPRODUCT(_xlfn.XLOOKUP(TRIM(P166:T166), $X$2:$X$6, $Y$2:$Y$6, 0), $P$4:$T$4)) / SUM($G$4:$N$4, $P$4:$T$4)</f>
        <v>3.5135135135135136</v>
      </c>
      <c r="E166" s="1" t="s">
        <v>313</v>
      </c>
      <c r="G166" s="16" t="s">
        <v>14</v>
      </c>
      <c r="H166" s="16" t="s">
        <v>14</v>
      </c>
      <c r="I166" s="16" t="s">
        <v>15</v>
      </c>
      <c r="J166" s="16" t="s">
        <v>14</v>
      </c>
      <c r="K166" s="16" t="s">
        <v>16</v>
      </c>
      <c r="L166" s="16" t="s">
        <v>15</v>
      </c>
      <c r="M166" s="16" t="s">
        <v>17</v>
      </c>
      <c r="N166" s="16" t="s">
        <v>15</v>
      </c>
      <c r="O166" s="15" cm="1">
        <f t="array" ref="O166">SUMPRODUCT(_xlfn.XLOOKUP(G166:N166, $X$2:$X$6, $Y$2:$Y$6,0), $G$4:$N$4) / SUM($G$4:$N$4)</f>
        <v>3.5454545454545454</v>
      </c>
      <c r="P166" s="1" t="s">
        <v>14</v>
      </c>
      <c r="Q166" s="1" t="s">
        <v>16</v>
      </c>
      <c r="R166" s="1" t="s">
        <v>16</v>
      </c>
      <c r="S166" s="1" t="s">
        <v>14</v>
      </c>
      <c r="T166" s="1" t="s">
        <v>16</v>
      </c>
      <c r="U166" s="15" cm="1">
        <f t="array" ref="U166">SUMPRODUCT(_xlfn.XLOOKUP(P166:T166, $X$2:$X$6, $Y$2:$Y$6, 0), $P$4:$T$4) / SUM($P$4:$T$4)</f>
        <v>3.4666666666666668</v>
      </c>
    </row>
    <row r="167" spans="1:21">
      <c r="A167" s="1">
        <v>1102309724</v>
      </c>
      <c r="B167" s="1" t="s">
        <v>406</v>
      </c>
      <c r="C167" s="1" t="s">
        <v>407</v>
      </c>
      <c r="D167" s="15" cm="1">
        <f t="array" ref="D167">(SUMPRODUCT(_xlfn.XLOOKUP(TRIM(G167:N167), $X$2:$X$6, $Y$2:$Y$6, 0), $G$4:$N$4) + SUMPRODUCT(_xlfn.XLOOKUP(TRIM(P167:T167), $X$2:$X$6, $Y$2:$Y$6, 0), $P$4:$T$4)) / SUM($G$4:$N$4, $P$4:$T$4)</f>
        <v>3.3648648648648649</v>
      </c>
      <c r="E167" s="1" t="s">
        <v>313</v>
      </c>
      <c r="G167" s="16" t="s">
        <v>15</v>
      </c>
      <c r="H167" s="16" t="s">
        <v>15</v>
      </c>
      <c r="I167" s="16" t="s">
        <v>14</v>
      </c>
      <c r="J167" s="16" t="s">
        <v>16</v>
      </c>
      <c r="K167" s="16" t="s">
        <v>17</v>
      </c>
      <c r="L167" s="16" t="s">
        <v>15</v>
      </c>
      <c r="M167" s="16" t="s">
        <v>15</v>
      </c>
      <c r="N167" s="16" t="s">
        <v>15</v>
      </c>
      <c r="O167" s="15" cm="1">
        <f t="array" ref="O167">SUMPRODUCT(_xlfn.XLOOKUP(G167:N167, $X$2:$X$6, $Y$2:$Y$6,0), $G$4:$N$4) / SUM($G$4:$N$4)</f>
        <v>3.3636363636363638</v>
      </c>
      <c r="P167" s="1" t="s">
        <v>15</v>
      </c>
      <c r="Q167" s="1" t="s">
        <v>17</v>
      </c>
      <c r="R167" s="1" t="s">
        <v>14</v>
      </c>
      <c r="S167" s="1" t="s">
        <v>15</v>
      </c>
      <c r="T167" s="1" t="s">
        <v>16</v>
      </c>
      <c r="U167" s="15" cm="1">
        <f t="array" ref="U167">SUMPRODUCT(_xlfn.XLOOKUP(P167:T167, $X$2:$X$6, $Y$2:$Y$6, 0), $P$4:$T$4) / SUM($P$4:$T$4)</f>
        <v>3.3666666666666667</v>
      </c>
    </row>
    <row r="168" spans="1:21">
      <c r="A168" s="1">
        <v>2100157324</v>
      </c>
      <c r="B168" s="1" t="s">
        <v>408</v>
      </c>
      <c r="C168" s="1" t="s">
        <v>409</v>
      </c>
      <c r="D168" s="15" cm="1">
        <f t="array" ref="D168">(SUMPRODUCT(_xlfn.XLOOKUP(TRIM(G168:N168), $X$2:$X$6, $Y$2:$Y$6, 0), $G$4:$N$4) + SUMPRODUCT(_xlfn.XLOOKUP(TRIM(P168:T168), $X$2:$X$6, $Y$2:$Y$6, 0), $P$4:$T$4)) / SUM($G$4:$N$4, $P$4:$T$4)</f>
        <v>3.0135135135135136</v>
      </c>
      <c r="E168" s="1" t="s">
        <v>313</v>
      </c>
      <c r="G168" s="16" t="s">
        <v>17</v>
      </c>
      <c r="H168" s="16" t="s">
        <v>15</v>
      </c>
      <c r="I168" s="16" t="s">
        <v>16</v>
      </c>
      <c r="J168" s="16" t="s">
        <v>15</v>
      </c>
      <c r="K168" s="16" t="s">
        <v>14</v>
      </c>
      <c r="L168" s="16" t="s">
        <v>17</v>
      </c>
      <c r="M168" s="16" t="s">
        <v>14</v>
      </c>
      <c r="N168" s="16" t="s">
        <v>17</v>
      </c>
      <c r="O168" s="15" cm="1">
        <f t="array" ref="O168">SUMPRODUCT(_xlfn.XLOOKUP(G168:N168, $X$2:$X$6, $Y$2:$Y$6,0), $G$4:$N$4) / SUM($G$4:$N$4)</f>
        <v>3.0909090909090908</v>
      </c>
      <c r="P168" s="1" t="s">
        <v>15</v>
      </c>
      <c r="Q168" s="1" t="s">
        <v>15</v>
      </c>
      <c r="R168" s="1" t="s">
        <v>17</v>
      </c>
      <c r="S168" s="1" t="s">
        <v>16</v>
      </c>
      <c r="T168" s="1" t="s">
        <v>16</v>
      </c>
      <c r="U168" s="15" cm="1">
        <f t="array" ref="U168">SUMPRODUCT(_xlfn.XLOOKUP(P168:T168, $X$2:$X$6, $Y$2:$Y$6, 0), $P$4:$T$4) / SUM($P$4:$T$4)</f>
        <v>2.9</v>
      </c>
    </row>
    <row r="169" spans="1:21">
      <c r="A169" s="1">
        <v>1106020124</v>
      </c>
      <c r="B169" s="1" t="s">
        <v>410</v>
      </c>
      <c r="C169" s="1" t="s">
        <v>411</v>
      </c>
      <c r="D169" s="15" cm="1">
        <f t="array" ref="D169">(SUMPRODUCT(_xlfn.XLOOKUP(TRIM(G169:N169), $X$2:$X$6, $Y$2:$Y$6, 0), $G$4:$N$4) + SUMPRODUCT(_xlfn.XLOOKUP(TRIM(P169:T169), $X$2:$X$6, $Y$2:$Y$6, 0), $P$4:$T$4)) / SUM($G$4:$N$4, $P$4:$T$4)</f>
        <v>3.189189189189189</v>
      </c>
      <c r="E169" s="1" t="s">
        <v>313</v>
      </c>
      <c r="G169" s="16" t="s">
        <v>15</v>
      </c>
      <c r="H169" s="16" t="s">
        <v>15</v>
      </c>
      <c r="I169" s="16" t="s">
        <v>14</v>
      </c>
      <c r="J169" s="16" t="s">
        <v>15</v>
      </c>
      <c r="K169" s="16" t="s">
        <v>17</v>
      </c>
      <c r="L169" s="16" t="s">
        <v>16</v>
      </c>
      <c r="M169" s="16" t="s">
        <v>16</v>
      </c>
      <c r="N169" s="16" t="s">
        <v>14</v>
      </c>
      <c r="O169" s="15" cm="1">
        <f t="array" ref="O169">SUMPRODUCT(_xlfn.XLOOKUP(G169:N169, $X$2:$X$6, $Y$2:$Y$6,0), $G$4:$N$4) / SUM($G$4:$N$4)</f>
        <v>3.4090909090909092</v>
      </c>
      <c r="P169" s="1" t="s">
        <v>16</v>
      </c>
      <c r="Q169" s="1" t="s">
        <v>16</v>
      </c>
      <c r="R169" s="1" t="s">
        <v>17</v>
      </c>
      <c r="S169" s="1" t="s">
        <v>16</v>
      </c>
      <c r="T169" s="1" t="s">
        <v>14</v>
      </c>
      <c r="U169" s="15" cm="1">
        <f t="array" ref="U169">SUMPRODUCT(_xlfn.XLOOKUP(P169:T169, $X$2:$X$6, $Y$2:$Y$6, 0), $P$4:$T$4) / SUM($P$4:$T$4)</f>
        <v>2.8666666666666667</v>
      </c>
    </row>
    <row r="170" spans="1:21">
      <c r="A170" s="1">
        <v>1104796724</v>
      </c>
      <c r="B170" s="1" t="s">
        <v>412</v>
      </c>
      <c r="C170" s="1" t="s">
        <v>413</v>
      </c>
      <c r="D170" s="15" cm="1">
        <f t="array" ref="D170">(SUMPRODUCT(_xlfn.XLOOKUP(TRIM(G170:N170), $X$2:$X$6, $Y$2:$Y$6, 0), $G$4:$N$4) + SUMPRODUCT(_xlfn.XLOOKUP(TRIM(P170:T170), $X$2:$X$6, $Y$2:$Y$6, 0), $P$4:$T$4)) / SUM($G$4:$N$4, $P$4:$T$4)</f>
        <v>3.1351351351351351</v>
      </c>
      <c r="E170" s="1" t="s">
        <v>313</v>
      </c>
      <c r="G170" s="16" t="s">
        <v>14</v>
      </c>
      <c r="H170" s="16" t="s">
        <v>16</v>
      </c>
      <c r="I170" s="16" t="s">
        <v>15</v>
      </c>
      <c r="J170" s="16" t="s">
        <v>16</v>
      </c>
      <c r="K170" s="16" t="s">
        <v>14</v>
      </c>
      <c r="L170" s="16" t="s">
        <v>14</v>
      </c>
      <c r="M170" s="16" t="s">
        <v>17</v>
      </c>
      <c r="N170" s="16" t="s">
        <v>16</v>
      </c>
      <c r="O170" s="15" cm="1">
        <f t="array" ref="O170">SUMPRODUCT(_xlfn.XLOOKUP(G170:N170, $X$2:$X$6, $Y$2:$Y$6,0), $G$4:$N$4) / SUM($G$4:$N$4)</f>
        <v>3.2727272727272729</v>
      </c>
      <c r="P170" s="1" t="s">
        <v>16</v>
      </c>
      <c r="Q170" s="1" t="s">
        <v>17</v>
      </c>
      <c r="R170" s="1" t="s">
        <v>14</v>
      </c>
      <c r="S170" s="1" t="s">
        <v>17</v>
      </c>
      <c r="T170" s="1" t="s">
        <v>15</v>
      </c>
      <c r="U170" s="15" cm="1">
        <f t="array" ref="U170">SUMPRODUCT(_xlfn.XLOOKUP(P170:T170, $X$2:$X$6, $Y$2:$Y$6, 0), $P$4:$T$4) / SUM($P$4:$T$4)</f>
        <v>2.9333333333333331</v>
      </c>
    </row>
    <row r="171" spans="1:21">
      <c r="A171" s="1">
        <v>2200044724</v>
      </c>
      <c r="B171" s="1" t="s">
        <v>414</v>
      </c>
      <c r="C171" s="1" t="s">
        <v>415</v>
      </c>
      <c r="D171" s="15" cm="1">
        <f t="array" ref="D171">(SUMPRODUCT(_xlfn.XLOOKUP(TRIM(G171:N171), $X$2:$X$6, $Y$2:$Y$6, 0), $G$4:$N$4) + SUMPRODUCT(_xlfn.XLOOKUP(TRIM(P171:T171), $X$2:$X$6, $Y$2:$Y$6, 0), $P$4:$T$4)) / SUM($G$4:$N$4, $P$4:$T$4)</f>
        <v>3.2432432432432434</v>
      </c>
      <c r="E171" s="1" t="s">
        <v>313</v>
      </c>
      <c r="G171" s="16" t="s">
        <v>16</v>
      </c>
      <c r="H171" s="16" t="s">
        <v>14</v>
      </c>
      <c r="I171" s="16" t="s">
        <v>17</v>
      </c>
      <c r="J171" s="16" t="s">
        <v>14</v>
      </c>
      <c r="K171" s="16" t="s">
        <v>15</v>
      </c>
      <c r="L171" s="16" t="s">
        <v>16</v>
      </c>
      <c r="M171" s="16" t="s">
        <v>17</v>
      </c>
      <c r="N171" s="16" t="s">
        <v>14</v>
      </c>
      <c r="O171" s="15" cm="1">
        <f t="array" ref="O171">SUMPRODUCT(_xlfn.XLOOKUP(G171:N171, $X$2:$X$6, $Y$2:$Y$6,0), $G$4:$N$4) / SUM($G$4:$N$4)</f>
        <v>3.2272727272727271</v>
      </c>
      <c r="P171" s="1" t="s">
        <v>16</v>
      </c>
      <c r="Q171" s="1" t="s">
        <v>16</v>
      </c>
      <c r="R171" s="1" t="s">
        <v>14</v>
      </c>
      <c r="S171" s="1" t="s">
        <v>16</v>
      </c>
      <c r="T171" s="1" t="s">
        <v>16</v>
      </c>
      <c r="U171" s="15" cm="1">
        <f t="array" ref="U171">SUMPRODUCT(_xlfn.XLOOKUP(P171:T171, $X$2:$X$6, $Y$2:$Y$6, 0), $P$4:$T$4) / SUM($P$4:$T$4)</f>
        <v>3.2666666666666666</v>
      </c>
    </row>
    <row r="172" spans="1:21">
      <c r="A172" s="1">
        <v>2200083424</v>
      </c>
      <c r="B172" s="1" t="s">
        <v>416</v>
      </c>
      <c r="C172" s="1" t="s">
        <v>417</v>
      </c>
      <c r="D172" s="15" cm="1">
        <f t="array" ref="D172">(SUMPRODUCT(_xlfn.XLOOKUP(TRIM(G172:N172), $X$2:$X$6, $Y$2:$Y$6, 0), $G$4:$N$4) + SUMPRODUCT(_xlfn.XLOOKUP(TRIM(P172:T172), $X$2:$X$6, $Y$2:$Y$6, 0), $P$4:$T$4)) / SUM($G$4:$N$4, $P$4:$T$4)</f>
        <v>2.8243243243243241</v>
      </c>
      <c r="E172" s="1" t="s">
        <v>313</v>
      </c>
      <c r="G172" s="16" t="s">
        <v>17</v>
      </c>
      <c r="H172" s="16" t="s">
        <v>16</v>
      </c>
      <c r="I172" s="16" t="s">
        <v>17</v>
      </c>
      <c r="J172" s="16" t="s">
        <v>16</v>
      </c>
      <c r="K172" s="16" t="s">
        <v>15</v>
      </c>
      <c r="L172" s="16" t="s">
        <v>15</v>
      </c>
      <c r="M172" s="16" t="s">
        <v>17</v>
      </c>
      <c r="N172" s="16" t="s">
        <v>17</v>
      </c>
      <c r="O172" s="15" cm="1">
        <f t="array" ref="O172">SUMPRODUCT(_xlfn.XLOOKUP(G172:N172, $X$2:$X$6, $Y$2:$Y$6,0), $G$4:$N$4) / SUM($G$4:$N$4)</f>
        <v>2.6363636363636362</v>
      </c>
      <c r="P172" s="1" t="s">
        <v>15</v>
      </c>
      <c r="Q172" s="1" t="s">
        <v>16</v>
      </c>
      <c r="R172" s="1" t="s">
        <v>17</v>
      </c>
      <c r="S172" s="1" t="s">
        <v>14</v>
      </c>
      <c r="T172" s="1" t="s">
        <v>16</v>
      </c>
      <c r="U172" s="15" cm="1">
        <f t="array" ref="U172">SUMPRODUCT(_xlfn.XLOOKUP(P172:T172, $X$2:$X$6, $Y$2:$Y$6, 0), $P$4:$T$4) / SUM($P$4:$T$4)</f>
        <v>3.1</v>
      </c>
    </row>
    <row r="173" spans="1:21">
      <c r="A173" s="1">
        <v>1105924324</v>
      </c>
      <c r="B173" s="1" t="s">
        <v>418</v>
      </c>
      <c r="C173" s="1" t="s">
        <v>419</v>
      </c>
      <c r="D173" s="15" cm="1">
        <f t="array" ref="D173">(SUMPRODUCT(_xlfn.XLOOKUP(TRIM(G173:N173), $X$2:$X$6, $Y$2:$Y$6, 0), $G$4:$N$4) + SUMPRODUCT(_xlfn.XLOOKUP(TRIM(P173:T173), $X$2:$X$6, $Y$2:$Y$6, 0), $P$4:$T$4)) / SUM($G$4:$N$4, $P$4:$T$4)</f>
        <v>2.8648648648648649</v>
      </c>
      <c r="E173" s="1" t="s">
        <v>313</v>
      </c>
      <c r="G173" s="16" t="s">
        <v>16</v>
      </c>
      <c r="H173" s="16" t="s">
        <v>15</v>
      </c>
      <c r="I173" s="16" t="s">
        <v>17</v>
      </c>
      <c r="J173" s="16" t="s">
        <v>16</v>
      </c>
      <c r="K173" s="16" t="s">
        <v>17</v>
      </c>
      <c r="L173" s="16" t="s">
        <v>17</v>
      </c>
      <c r="M173" s="16" t="s">
        <v>17</v>
      </c>
      <c r="N173" s="16" t="s">
        <v>15</v>
      </c>
      <c r="O173" s="15" cm="1">
        <f t="array" ref="O173">SUMPRODUCT(_xlfn.XLOOKUP(G173:N173, $X$2:$X$6, $Y$2:$Y$6,0), $G$4:$N$4) / SUM($G$4:$N$4)</f>
        <v>2.6818181818181817</v>
      </c>
      <c r="P173" s="1" t="s">
        <v>17</v>
      </c>
      <c r="Q173" s="1" t="s">
        <v>15</v>
      </c>
      <c r="R173" s="1" t="s">
        <v>14</v>
      </c>
      <c r="S173" s="1" t="s">
        <v>16</v>
      </c>
      <c r="T173" s="1" t="s">
        <v>16</v>
      </c>
      <c r="U173" s="15" cm="1">
        <f t="array" ref="U173">SUMPRODUCT(_xlfn.XLOOKUP(P173:T173, $X$2:$X$6, $Y$2:$Y$6, 0), $P$4:$T$4) / SUM($P$4:$T$4)</f>
        <v>3.1333333333333333</v>
      </c>
    </row>
    <row r="174" spans="1:21">
      <c r="A174" s="1">
        <v>2100770424</v>
      </c>
      <c r="B174" s="1" t="s">
        <v>420</v>
      </c>
      <c r="C174" s="1" t="s">
        <v>421</v>
      </c>
      <c r="D174" s="15" cm="1">
        <f t="array" ref="D174">(SUMPRODUCT(_xlfn.XLOOKUP(TRIM(G174:N174), $X$2:$X$6, $Y$2:$Y$6, 0), $G$4:$N$4) + SUMPRODUCT(_xlfn.XLOOKUP(TRIM(P174:T174), $X$2:$X$6, $Y$2:$Y$6, 0), $P$4:$T$4)) / SUM($G$4:$N$4, $P$4:$T$4)</f>
        <v>3.2567567567567566</v>
      </c>
      <c r="E174" s="1" t="s">
        <v>313</v>
      </c>
      <c r="G174" s="16" t="s">
        <v>14</v>
      </c>
      <c r="H174" s="16" t="s">
        <v>15</v>
      </c>
      <c r="I174" s="16" t="s">
        <v>16</v>
      </c>
      <c r="J174" s="16" t="s">
        <v>15</v>
      </c>
      <c r="K174" s="16" t="s">
        <v>15</v>
      </c>
      <c r="L174" s="16" t="s">
        <v>15</v>
      </c>
      <c r="M174" s="16" t="s">
        <v>14</v>
      </c>
      <c r="N174" s="16" t="s">
        <v>14</v>
      </c>
      <c r="O174" s="15" cm="1">
        <f t="array" ref="O174">SUMPRODUCT(_xlfn.XLOOKUP(G174:N174, $X$2:$X$6, $Y$2:$Y$6,0), $G$4:$N$4) / SUM($G$4:$N$4)</f>
        <v>3.5454545454545454</v>
      </c>
      <c r="P174" s="1" t="s">
        <v>15</v>
      </c>
      <c r="Q174" s="1" t="s">
        <v>17</v>
      </c>
      <c r="R174" s="1" t="s">
        <v>14</v>
      </c>
      <c r="S174" s="1" t="s">
        <v>17</v>
      </c>
      <c r="T174" s="1" t="s">
        <v>17</v>
      </c>
      <c r="U174" s="15" cm="1">
        <f t="array" ref="U174">SUMPRODUCT(_xlfn.XLOOKUP(P174:T174, $X$2:$X$6, $Y$2:$Y$6, 0), $P$4:$T$4) / SUM($P$4:$T$4)</f>
        <v>2.8333333333333335</v>
      </c>
    </row>
    <row r="175" spans="1:21">
      <c r="A175" s="1">
        <v>1107269424</v>
      </c>
      <c r="B175" s="1" t="s">
        <v>422</v>
      </c>
      <c r="C175" s="1" t="s">
        <v>423</v>
      </c>
      <c r="D175" s="15" cm="1">
        <f t="array" ref="D175">(SUMPRODUCT(_xlfn.XLOOKUP(TRIM(G175:N175), $X$2:$X$6, $Y$2:$Y$6, 0), $G$4:$N$4) + SUMPRODUCT(_xlfn.XLOOKUP(TRIM(P175:T175), $X$2:$X$6, $Y$2:$Y$6, 0), $P$4:$T$4)) / SUM($G$4:$N$4, $P$4:$T$4)</f>
        <v>2.810810810810811</v>
      </c>
      <c r="E175" s="1" t="s">
        <v>313</v>
      </c>
      <c r="G175" s="16" t="s">
        <v>15</v>
      </c>
      <c r="H175" s="16" t="s">
        <v>17</v>
      </c>
      <c r="I175" s="16" t="s">
        <v>17</v>
      </c>
      <c r="J175" s="16" t="s">
        <v>17</v>
      </c>
      <c r="K175" s="16" t="s">
        <v>15</v>
      </c>
      <c r="L175" s="16" t="s">
        <v>15</v>
      </c>
      <c r="M175" s="16" t="s">
        <v>14</v>
      </c>
      <c r="N175" s="16" t="s">
        <v>14</v>
      </c>
      <c r="O175" s="15" cm="1">
        <f t="array" ref="O175">SUMPRODUCT(_xlfn.XLOOKUP(G175:N175, $X$2:$X$6, $Y$2:$Y$6,0), $G$4:$N$4) / SUM($G$4:$N$4)</f>
        <v>2.7727272727272729</v>
      </c>
      <c r="P175" s="1" t="s">
        <v>17</v>
      </c>
      <c r="Q175" s="1" t="s">
        <v>15</v>
      </c>
      <c r="R175" s="1" t="s">
        <v>15</v>
      </c>
      <c r="S175" s="1" t="s">
        <v>17</v>
      </c>
      <c r="T175" s="1" t="s">
        <v>14</v>
      </c>
      <c r="U175" s="15" cm="1">
        <f t="array" ref="U175">SUMPRODUCT(_xlfn.XLOOKUP(P175:T175, $X$2:$X$6, $Y$2:$Y$6, 0), $P$4:$T$4) / SUM($P$4:$T$4)</f>
        <v>2.8666666666666667</v>
      </c>
    </row>
    <row r="176" spans="1:21">
      <c r="A176" s="1">
        <v>1101492424</v>
      </c>
      <c r="B176" s="1" t="s">
        <v>424</v>
      </c>
      <c r="C176" s="1" t="s">
        <v>425</v>
      </c>
      <c r="D176" s="15" cm="1">
        <f t="array" ref="D176">(SUMPRODUCT(_xlfn.XLOOKUP(TRIM(G176:N176), $X$2:$X$6, $Y$2:$Y$6, 0), $G$4:$N$4) + SUMPRODUCT(_xlfn.XLOOKUP(TRIM(P176:T176), $X$2:$X$6, $Y$2:$Y$6, 0), $P$4:$T$4)) / SUM($G$4:$N$4, $P$4:$T$4)</f>
        <v>2.6486486486486487</v>
      </c>
      <c r="E176" s="1" t="s">
        <v>313</v>
      </c>
      <c r="G176" s="16" t="s">
        <v>15</v>
      </c>
      <c r="H176" s="16" t="s">
        <v>14</v>
      </c>
      <c r="I176" s="16" t="s">
        <v>17</v>
      </c>
      <c r="J176" s="16" t="s">
        <v>15</v>
      </c>
      <c r="K176" s="16" t="s">
        <v>17</v>
      </c>
      <c r="L176" s="16" t="s">
        <v>16</v>
      </c>
      <c r="M176" s="16" t="s">
        <v>17</v>
      </c>
      <c r="N176" s="16" t="s">
        <v>17</v>
      </c>
      <c r="O176" s="15" cm="1">
        <f t="array" ref="O176">SUMPRODUCT(_xlfn.XLOOKUP(G176:N176, $X$2:$X$6, $Y$2:$Y$6,0), $G$4:$N$4) / SUM($G$4:$N$4)</f>
        <v>2.8636363636363638</v>
      </c>
      <c r="P176" s="1" t="s">
        <v>17</v>
      </c>
      <c r="Q176" s="1" t="s">
        <v>15</v>
      </c>
      <c r="R176" s="1" t="s">
        <v>17</v>
      </c>
      <c r="S176" s="1" t="s">
        <v>17</v>
      </c>
      <c r="T176" s="1" t="s">
        <v>16</v>
      </c>
      <c r="U176" s="15" cm="1">
        <f t="array" ref="U176">SUMPRODUCT(_xlfn.XLOOKUP(P176:T176, $X$2:$X$6, $Y$2:$Y$6, 0), $P$4:$T$4) / SUM($P$4:$T$4)</f>
        <v>2.3333333333333335</v>
      </c>
    </row>
    <row r="177" spans="1:21">
      <c r="A177" s="1">
        <v>1104069124</v>
      </c>
      <c r="B177" s="1" t="s">
        <v>426</v>
      </c>
      <c r="C177" s="1" t="s">
        <v>427</v>
      </c>
      <c r="D177" s="15" cm="1">
        <f t="array" ref="D177">(SUMPRODUCT(_xlfn.XLOOKUP(TRIM(G177:N177), $X$2:$X$6, $Y$2:$Y$6, 0), $G$4:$N$4) + SUMPRODUCT(_xlfn.XLOOKUP(TRIM(P177:T177), $X$2:$X$6, $Y$2:$Y$6, 0), $P$4:$T$4)) / SUM($G$4:$N$4, $P$4:$T$4)</f>
        <v>3.0675675675675675</v>
      </c>
      <c r="E177" s="1" t="s">
        <v>313</v>
      </c>
      <c r="G177" s="16" t="s">
        <v>15</v>
      </c>
      <c r="H177" s="16" t="s">
        <v>16</v>
      </c>
      <c r="I177" s="16" t="s">
        <v>17</v>
      </c>
      <c r="J177" s="16" t="s">
        <v>15</v>
      </c>
      <c r="K177" s="16" t="s">
        <v>16</v>
      </c>
      <c r="L177" s="16" t="s">
        <v>17</v>
      </c>
      <c r="M177" s="16" t="s">
        <v>14</v>
      </c>
      <c r="N177" s="16" t="s">
        <v>16</v>
      </c>
      <c r="O177" s="15" cm="1">
        <f t="array" ref="O177">SUMPRODUCT(_xlfn.XLOOKUP(G177:N177, $X$2:$X$6, $Y$2:$Y$6,0), $G$4:$N$4) / SUM($G$4:$N$4)</f>
        <v>2.9545454545454546</v>
      </c>
      <c r="P177" s="1" t="s">
        <v>15</v>
      </c>
      <c r="Q177" s="1" t="s">
        <v>16</v>
      </c>
      <c r="R177" s="1" t="s">
        <v>16</v>
      </c>
      <c r="S177" s="1" t="s">
        <v>16</v>
      </c>
      <c r="T177" s="1" t="s">
        <v>14</v>
      </c>
      <c r="U177" s="15" cm="1">
        <f t="array" ref="U177">SUMPRODUCT(_xlfn.XLOOKUP(P177:T177, $X$2:$X$6, $Y$2:$Y$6, 0), $P$4:$T$4) / SUM($P$4:$T$4)</f>
        <v>3.2333333333333334</v>
      </c>
    </row>
    <row r="178" spans="1:21">
      <c r="A178" s="1">
        <v>2100747524</v>
      </c>
      <c r="B178" s="1" t="s">
        <v>428</v>
      </c>
      <c r="C178" s="1" t="s">
        <v>429</v>
      </c>
      <c r="D178" s="15" cm="1">
        <f t="array" ref="D178">(SUMPRODUCT(_xlfn.XLOOKUP(TRIM(G178:N178), $X$2:$X$6, $Y$2:$Y$6, 0), $G$4:$N$4) + SUMPRODUCT(_xlfn.XLOOKUP(TRIM(P178:T178), $X$2:$X$6, $Y$2:$Y$6, 0), $P$4:$T$4)) / SUM($G$4:$N$4, $P$4:$T$4)</f>
        <v>2.8378378378378377</v>
      </c>
      <c r="E178" s="1" t="s">
        <v>313</v>
      </c>
      <c r="G178" s="16" t="s">
        <v>15</v>
      </c>
      <c r="H178" s="16" t="s">
        <v>15</v>
      </c>
      <c r="I178" s="16" t="s">
        <v>15</v>
      </c>
      <c r="J178" s="16" t="s">
        <v>17</v>
      </c>
      <c r="K178" s="16" t="s">
        <v>15</v>
      </c>
      <c r="L178" s="16" t="s">
        <v>15</v>
      </c>
      <c r="M178" s="16" t="s">
        <v>14</v>
      </c>
      <c r="N178" s="16" t="s">
        <v>17</v>
      </c>
      <c r="O178" s="15" cm="1">
        <f t="array" ref="O178">SUMPRODUCT(_xlfn.XLOOKUP(G178:N178, $X$2:$X$6, $Y$2:$Y$6,0), $G$4:$N$4) / SUM($G$4:$N$4)</f>
        <v>3.1363636363636362</v>
      </c>
      <c r="P178" s="1" t="s">
        <v>17</v>
      </c>
      <c r="Q178" s="1" t="s">
        <v>16</v>
      </c>
      <c r="R178" s="1" t="s">
        <v>17</v>
      </c>
      <c r="S178" s="1" t="s">
        <v>17</v>
      </c>
      <c r="T178" s="1" t="s">
        <v>14</v>
      </c>
      <c r="U178" s="15" cm="1">
        <f t="array" ref="U178">SUMPRODUCT(_xlfn.XLOOKUP(P178:T178, $X$2:$X$6, $Y$2:$Y$6, 0), $P$4:$T$4) / SUM($P$4:$T$4)</f>
        <v>2.4</v>
      </c>
    </row>
    <row r="179" spans="1:21">
      <c r="A179" s="1">
        <v>1101193624</v>
      </c>
      <c r="B179" s="1" t="s">
        <v>430</v>
      </c>
      <c r="C179" s="1" t="s">
        <v>431</v>
      </c>
      <c r="D179" s="15" cm="1">
        <f t="array" ref="D179">(SUMPRODUCT(_xlfn.XLOOKUP(TRIM(G179:N179), $X$2:$X$6, $Y$2:$Y$6, 0), $G$4:$N$4) + SUMPRODUCT(_xlfn.XLOOKUP(TRIM(P179:T179), $X$2:$X$6, $Y$2:$Y$6, 0), $P$4:$T$4)) / SUM($G$4:$N$4, $P$4:$T$4)</f>
        <v>2.7027027027027026</v>
      </c>
      <c r="E179" s="1" t="s">
        <v>313</v>
      </c>
      <c r="G179" s="16" t="s">
        <v>15</v>
      </c>
      <c r="H179" s="16" t="s">
        <v>17</v>
      </c>
      <c r="I179" s="16" t="s">
        <v>17</v>
      </c>
      <c r="J179" s="16" t="s">
        <v>14</v>
      </c>
      <c r="K179" s="16" t="s">
        <v>17</v>
      </c>
      <c r="L179" s="16" t="s">
        <v>17</v>
      </c>
      <c r="M179" s="16" t="s">
        <v>14</v>
      </c>
      <c r="N179" s="16" t="s">
        <v>16</v>
      </c>
      <c r="O179" s="15" cm="1">
        <f t="array" ref="O179">SUMPRODUCT(_xlfn.XLOOKUP(G179:N179, $X$2:$X$6, $Y$2:$Y$6,0), $G$4:$N$4) / SUM($G$4:$N$4)</f>
        <v>2.7727272727272729</v>
      </c>
      <c r="P179" s="1" t="s">
        <v>16</v>
      </c>
      <c r="Q179" s="1" t="s">
        <v>17</v>
      </c>
      <c r="R179" s="1" t="s">
        <v>17</v>
      </c>
      <c r="S179" s="1" t="s">
        <v>15</v>
      </c>
      <c r="T179" s="1" t="s">
        <v>17</v>
      </c>
      <c r="U179" s="15" cm="1">
        <f t="array" ref="U179">SUMPRODUCT(_xlfn.XLOOKUP(P179:T179, $X$2:$X$6, $Y$2:$Y$6, 0), $P$4:$T$4) / SUM($P$4:$T$4)</f>
        <v>2.6</v>
      </c>
    </row>
    <row r="180" spans="1:21">
      <c r="A180" s="1">
        <v>2100528924</v>
      </c>
      <c r="B180" s="1" t="s">
        <v>432</v>
      </c>
      <c r="C180" s="1" t="s">
        <v>433</v>
      </c>
      <c r="D180" s="15" cm="1">
        <f t="array" ref="D180">(SUMPRODUCT(_xlfn.XLOOKUP(TRIM(G180:N180), $X$2:$X$6, $Y$2:$Y$6, 0), $G$4:$N$4) + SUMPRODUCT(_xlfn.XLOOKUP(TRIM(P180:T180), $X$2:$X$6, $Y$2:$Y$6, 0), $P$4:$T$4)) / SUM($G$4:$N$4, $P$4:$T$4)</f>
        <v>2.8513513513513513</v>
      </c>
      <c r="E180" s="1" t="s">
        <v>313</v>
      </c>
      <c r="G180" s="16" t="s">
        <v>15</v>
      </c>
      <c r="H180" s="16" t="s">
        <v>16</v>
      </c>
      <c r="I180" s="16" t="s">
        <v>17</v>
      </c>
      <c r="J180" s="16" t="s">
        <v>17</v>
      </c>
      <c r="K180" s="16" t="s">
        <v>14</v>
      </c>
      <c r="L180" s="16" t="s">
        <v>17</v>
      </c>
      <c r="M180" s="16" t="s">
        <v>16</v>
      </c>
      <c r="N180" s="16" t="s">
        <v>17</v>
      </c>
      <c r="O180" s="15" cm="1">
        <f t="array" ref="O180">SUMPRODUCT(_xlfn.XLOOKUP(G180:N180, $X$2:$X$6, $Y$2:$Y$6,0), $G$4:$N$4) / SUM($G$4:$N$4)</f>
        <v>2.5909090909090908</v>
      </c>
      <c r="P180" s="1" t="s">
        <v>15</v>
      </c>
      <c r="Q180" s="1" t="s">
        <v>17</v>
      </c>
      <c r="R180" s="1" t="s">
        <v>15</v>
      </c>
      <c r="S180" s="1" t="s">
        <v>14</v>
      </c>
      <c r="T180" s="1" t="s">
        <v>17</v>
      </c>
      <c r="U180" s="15" cm="1">
        <f t="array" ref="U180">SUMPRODUCT(_xlfn.XLOOKUP(P180:T180, $X$2:$X$6, $Y$2:$Y$6, 0), $P$4:$T$4) / SUM($P$4:$T$4)</f>
        <v>3.2333333333333334</v>
      </c>
    </row>
    <row r="181" spans="1:21">
      <c r="A181" s="1">
        <v>1105221424</v>
      </c>
      <c r="B181" s="1" t="s">
        <v>434</v>
      </c>
      <c r="C181" s="1" t="s">
        <v>435</v>
      </c>
      <c r="D181" s="15" cm="1">
        <f t="array" ref="D181">(SUMPRODUCT(_xlfn.XLOOKUP(TRIM(G181:N181), $X$2:$X$6, $Y$2:$Y$6, 0), $G$4:$N$4) + SUMPRODUCT(_xlfn.XLOOKUP(TRIM(P181:T181), $X$2:$X$6, $Y$2:$Y$6, 0), $P$4:$T$4)) / SUM($G$4:$N$4, $P$4:$T$4)</f>
        <v>3</v>
      </c>
      <c r="E181" s="1" t="s">
        <v>313</v>
      </c>
      <c r="G181" s="16" t="s">
        <v>14</v>
      </c>
      <c r="H181" s="16" t="s">
        <v>14</v>
      </c>
      <c r="I181" s="16" t="s">
        <v>17</v>
      </c>
      <c r="J181" s="16" t="s">
        <v>15</v>
      </c>
      <c r="K181" s="16" t="s">
        <v>17</v>
      </c>
      <c r="L181" s="16" t="s">
        <v>15</v>
      </c>
      <c r="M181" s="16" t="s">
        <v>14</v>
      </c>
      <c r="N181" s="16" t="s">
        <v>16</v>
      </c>
      <c r="O181" s="15" cm="1">
        <f t="array" ref="O181">SUMPRODUCT(_xlfn.XLOOKUP(G181:N181, $X$2:$X$6, $Y$2:$Y$6,0), $G$4:$N$4) / SUM($G$4:$N$4)</f>
        <v>3.2272727272727271</v>
      </c>
      <c r="P181" s="1" t="s">
        <v>17</v>
      </c>
      <c r="Q181" s="1" t="s">
        <v>16</v>
      </c>
      <c r="R181" s="1" t="s">
        <v>15</v>
      </c>
      <c r="S181" s="1" t="s">
        <v>17</v>
      </c>
      <c r="T181" s="1" t="s">
        <v>16</v>
      </c>
      <c r="U181" s="15" cm="1">
        <f t="array" ref="U181">SUMPRODUCT(_xlfn.XLOOKUP(P181:T181, $X$2:$X$6, $Y$2:$Y$6, 0), $P$4:$T$4) / SUM($P$4:$T$4)</f>
        <v>2.6666666666666665</v>
      </c>
    </row>
    <row r="182" spans="1:21">
      <c r="A182" s="1">
        <v>2100208624</v>
      </c>
      <c r="B182" s="1" t="s">
        <v>436</v>
      </c>
      <c r="C182" s="1" t="s">
        <v>437</v>
      </c>
      <c r="D182" s="15" cm="1">
        <f t="array" ref="D182">(SUMPRODUCT(_xlfn.XLOOKUP(TRIM(G182:N182), $X$2:$X$6, $Y$2:$Y$6, 0), $G$4:$N$4) + SUMPRODUCT(_xlfn.XLOOKUP(TRIM(P182:T182), $X$2:$X$6, $Y$2:$Y$6, 0), $P$4:$T$4)) / SUM($G$4:$N$4, $P$4:$T$4)</f>
        <v>3.1351351351351351</v>
      </c>
      <c r="E182" s="1" t="s">
        <v>313</v>
      </c>
      <c r="G182" s="16" t="s">
        <v>16</v>
      </c>
      <c r="H182" s="16" t="s">
        <v>17</v>
      </c>
      <c r="I182" s="16" t="s">
        <v>16</v>
      </c>
      <c r="J182" s="16" t="s">
        <v>17</v>
      </c>
      <c r="K182" s="16" t="s">
        <v>16</v>
      </c>
      <c r="L182" s="16" t="s">
        <v>14</v>
      </c>
      <c r="M182" s="16" t="s">
        <v>17</v>
      </c>
      <c r="N182" s="16" t="s">
        <v>14</v>
      </c>
      <c r="O182" s="15" cm="1">
        <f t="array" ref="O182">SUMPRODUCT(_xlfn.XLOOKUP(G182:N182, $X$2:$X$6, $Y$2:$Y$6,0), $G$4:$N$4) / SUM($G$4:$N$4)</f>
        <v>2.7272727272727271</v>
      </c>
      <c r="P182" s="1" t="s">
        <v>14</v>
      </c>
      <c r="Q182" s="1" t="s">
        <v>16</v>
      </c>
      <c r="R182" s="1" t="s">
        <v>15</v>
      </c>
      <c r="S182" s="1" t="s">
        <v>14</v>
      </c>
      <c r="T182" s="1" t="s">
        <v>14</v>
      </c>
      <c r="U182" s="15" cm="1">
        <f t="array" ref="U182">SUMPRODUCT(_xlfn.XLOOKUP(P182:T182, $X$2:$X$6, $Y$2:$Y$6, 0), $P$4:$T$4) / SUM($P$4:$T$4)</f>
        <v>3.7333333333333334</v>
      </c>
    </row>
    <row r="183" spans="1:21">
      <c r="A183" s="1">
        <v>1106108424</v>
      </c>
      <c r="B183" s="1" t="s">
        <v>438</v>
      </c>
      <c r="C183" s="1" t="s">
        <v>439</v>
      </c>
      <c r="D183" s="15" cm="1">
        <f t="array" ref="D183">(SUMPRODUCT(_xlfn.XLOOKUP(TRIM(G183:N183), $X$2:$X$6, $Y$2:$Y$6, 0), $G$4:$N$4) + SUMPRODUCT(_xlfn.XLOOKUP(TRIM(P183:T183), $X$2:$X$6, $Y$2:$Y$6, 0), $P$4:$T$4)) / SUM($G$4:$N$4, $P$4:$T$4)</f>
        <v>3.2972972972972974</v>
      </c>
      <c r="E183" s="1" t="s">
        <v>313</v>
      </c>
      <c r="G183" s="16" t="s">
        <v>14</v>
      </c>
      <c r="H183" s="16" t="s">
        <v>15</v>
      </c>
      <c r="I183" s="16" t="s">
        <v>15</v>
      </c>
      <c r="J183" s="16" t="s">
        <v>14</v>
      </c>
      <c r="K183" s="16" t="s">
        <v>15</v>
      </c>
      <c r="L183" s="16" t="s">
        <v>15</v>
      </c>
      <c r="M183" s="16" t="s">
        <v>15</v>
      </c>
      <c r="N183" s="16" t="s">
        <v>17</v>
      </c>
      <c r="O183" s="15" cm="1">
        <f t="array" ref="O183">SUMPRODUCT(_xlfn.XLOOKUP(G183:N183, $X$2:$X$6, $Y$2:$Y$6,0), $G$4:$N$4) / SUM($G$4:$N$4)</f>
        <v>3.5</v>
      </c>
      <c r="P183" s="1" t="s">
        <v>14</v>
      </c>
      <c r="Q183" s="1" t="s">
        <v>15</v>
      </c>
      <c r="R183" s="1" t="s">
        <v>17</v>
      </c>
      <c r="S183" s="1" t="s">
        <v>16</v>
      </c>
      <c r="T183" s="1" t="s">
        <v>16</v>
      </c>
      <c r="U183" s="15" cm="1">
        <f t="array" ref="U183">SUMPRODUCT(_xlfn.XLOOKUP(P183:T183, $X$2:$X$6, $Y$2:$Y$6, 0), $P$4:$T$4) / SUM($P$4:$T$4)</f>
        <v>3</v>
      </c>
    </row>
    <row r="184" spans="1:21">
      <c r="A184" s="1">
        <v>1101312224</v>
      </c>
      <c r="B184" s="1" t="s">
        <v>440</v>
      </c>
      <c r="C184" s="1" t="s">
        <v>441</v>
      </c>
      <c r="D184" s="15" cm="1">
        <f t="array" ref="D184">(SUMPRODUCT(_xlfn.XLOOKUP(TRIM(G184:N184), $X$2:$X$6, $Y$2:$Y$6, 0), $G$4:$N$4) + SUMPRODUCT(_xlfn.XLOOKUP(TRIM(P184:T184), $X$2:$X$6, $Y$2:$Y$6, 0), $P$4:$T$4)) / SUM($G$4:$N$4, $P$4:$T$4)</f>
        <v>3.4054054054054053</v>
      </c>
      <c r="E184" s="1" t="s">
        <v>313</v>
      </c>
      <c r="G184" s="16" t="s">
        <v>15</v>
      </c>
      <c r="H184" s="16" t="s">
        <v>14</v>
      </c>
      <c r="I184" s="16" t="s">
        <v>15</v>
      </c>
      <c r="J184" s="16" t="s">
        <v>16</v>
      </c>
      <c r="K184" s="16" t="s">
        <v>14</v>
      </c>
      <c r="L184" s="16" t="s">
        <v>14</v>
      </c>
      <c r="M184" s="16" t="s">
        <v>16</v>
      </c>
      <c r="N184" s="16" t="s">
        <v>17</v>
      </c>
      <c r="O184" s="15" cm="1">
        <f t="array" ref="O184">SUMPRODUCT(_xlfn.XLOOKUP(G184:N184, $X$2:$X$6, $Y$2:$Y$6,0), $G$4:$N$4) / SUM($G$4:$N$4)</f>
        <v>3.4090909090909092</v>
      </c>
      <c r="P184" s="1" t="s">
        <v>17</v>
      </c>
      <c r="Q184" s="1" t="s">
        <v>15</v>
      </c>
      <c r="R184" s="1" t="s">
        <v>14</v>
      </c>
      <c r="S184" s="1" t="s">
        <v>15</v>
      </c>
      <c r="T184" s="1" t="s">
        <v>14</v>
      </c>
      <c r="U184" s="15" cm="1">
        <f t="array" ref="U184">SUMPRODUCT(_xlfn.XLOOKUP(P184:T184, $X$2:$X$6, $Y$2:$Y$6, 0), $P$4:$T$4) / SUM($P$4:$T$4)</f>
        <v>3.4</v>
      </c>
    </row>
    <row r="185" spans="1:21">
      <c r="A185" s="1">
        <v>1101401524</v>
      </c>
      <c r="B185" s="1" t="s">
        <v>442</v>
      </c>
      <c r="C185" s="1" t="s">
        <v>443</v>
      </c>
      <c r="D185" s="15" cm="1">
        <f t="array" ref="D185">(SUMPRODUCT(_xlfn.XLOOKUP(TRIM(G185:N185), $X$2:$X$6, $Y$2:$Y$6, 0), $G$4:$N$4) + SUMPRODUCT(_xlfn.XLOOKUP(TRIM(P185:T185), $X$2:$X$6, $Y$2:$Y$6, 0), $P$4:$T$4)) / SUM($G$4:$N$4, $P$4:$T$4)</f>
        <v>3.189189189189189</v>
      </c>
      <c r="E185" s="1" t="s">
        <v>313</v>
      </c>
      <c r="G185" s="16" t="s">
        <v>16</v>
      </c>
      <c r="H185" s="16" t="s">
        <v>14</v>
      </c>
      <c r="I185" s="16" t="s">
        <v>14</v>
      </c>
      <c r="J185" s="16" t="s">
        <v>16</v>
      </c>
      <c r="K185" s="16" t="s">
        <v>17</v>
      </c>
      <c r="L185" s="16" t="s">
        <v>16</v>
      </c>
      <c r="M185" s="16" t="s">
        <v>14</v>
      </c>
      <c r="N185" s="16" t="s">
        <v>16</v>
      </c>
      <c r="O185" s="15" cm="1">
        <f t="array" ref="O185">SUMPRODUCT(_xlfn.XLOOKUP(G185:N185, $X$2:$X$6, $Y$2:$Y$6,0), $G$4:$N$4) / SUM($G$4:$N$4)</f>
        <v>3.3636363636363638</v>
      </c>
      <c r="P185" s="1" t="s">
        <v>14</v>
      </c>
      <c r="Q185" s="1" t="s">
        <v>17</v>
      </c>
      <c r="R185" s="1" t="s">
        <v>17</v>
      </c>
      <c r="S185" s="1" t="s">
        <v>14</v>
      </c>
      <c r="T185" s="1" t="s">
        <v>17</v>
      </c>
      <c r="U185" s="15" cm="1">
        <f t="array" ref="U185">SUMPRODUCT(_xlfn.XLOOKUP(P185:T185, $X$2:$X$6, $Y$2:$Y$6, 0), $P$4:$T$4) / SUM($P$4:$T$4)</f>
        <v>2.9333333333333331</v>
      </c>
    </row>
    <row r="186" spans="1:21">
      <c r="A186" s="1">
        <v>1104837124</v>
      </c>
      <c r="B186" s="1" t="s">
        <v>444</v>
      </c>
      <c r="C186" s="1" t="s">
        <v>445</v>
      </c>
      <c r="D186" s="15" cm="1">
        <f t="array" ref="D186">(SUMPRODUCT(_xlfn.XLOOKUP(TRIM(G186:N186), $X$2:$X$6, $Y$2:$Y$6, 0), $G$4:$N$4) + SUMPRODUCT(_xlfn.XLOOKUP(TRIM(P186:T186), $X$2:$X$6, $Y$2:$Y$6, 0), $P$4:$T$4)) / SUM($G$4:$N$4, $P$4:$T$4)</f>
        <v>2.7837837837837838</v>
      </c>
      <c r="E186" s="1" t="s">
        <v>313</v>
      </c>
      <c r="G186" s="16" t="s">
        <v>16</v>
      </c>
      <c r="H186" s="16" t="s">
        <v>17</v>
      </c>
      <c r="I186" s="16" t="s">
        <v>15</v>
      </c>
      <c r="J186" s="16" t="s">
        <v>17</v>
      </c>
      <c r="K186" s="16" t="s">
        <v>15</v>
      </c>
      <c r="L186" s="16" t="s">
        <v>16</v>
      </c>
      <c r="M186" s="16" t="s">
        <v>17</v>
      </c>
      <c r="N186" s="16" t="s">
        <v>17</v>
      </c>
      <c r="O186" s="15" cm="1">
        <f t="array" ref="O186">SUMPRODUCT(_xlfn.XLOOKUP(G186:N186, $X$2:$X$6, $Y$2:$Y$6,0), $G$4:$N$4) / SUM($G$4:$N$4)</f>
        <v>2.5909090909090908</v>
      </c>
      <c r="P186" s="1" t="s">
        <v>17</v>
      </c>
      <c r="Q186" s="1" t="s">
        <v>16</v>
      </c>
      <c r="R186" s="1" t="s">
        <v>16</v>
      </c>
      <c r="S186" s="1" t="s">
        <v>15</v>
      </c>
      <c r="T186" s="1" t="s">
        <v>14</v>
      </c>
      <c r="U186" s="15" cm="1">
        <f t="array" ref="U186">SUMPRODUCT(_xlfn.XLOOKUP(P186:T186, $X$2:$X$6, $Y$2:$Y$6, 0), $P$4:$T$4) / SUM($P$4:$T$4)</f>
        <v>3.0666666666666669</v>
      </c>
    </row>
    <row r="187" spans="1:21">
      <c r="A187" s="1">
        <v>2100907124</v>
      </c>
      <c r="B187" s="1" t="s">
        <v>446</v>
      </c>
      <c r="C187" s="1" t="s">
        <v>447</v>
      </c>
      <c r="D187" s="15" cm="1">
        <f t="array" ref="D187">(SUMPRODUCT(_xlfn.XLOOKUP(TRIM(G187:N187), $X$2:$X$6, $Y$2:$Y$6, 0), $G$4:$N$4) + SUMPRODUCT(_xlfn.XLOOKUP(TRIM(P187:T187), $X$2:$X$6, $Y$2:$Y$6, 0), $P$4:$T$4)) / SUM($G$4:$N$4, $P$4:$T$4)</f>
        <v>2.7567567567567566</v>
      </c>
      <c r="E187" s="1" t="s">
        <v>313</v>
      </c>
      <c r="G187" s="16" t="s">
        <v>16</v>
      </c>
      <c r="H187" s="16" t="s">
        <v>17</v>
      </c>
      <c r="I187" s="16" t="s">
        <v>15</v>
      </c>
      <c r="J187" s="16" t="s">
        <v>17</v>
      </c>
      <c r="K187" s="16" t="s">
        <v>17</v>
      </c>
      <c r="L187" s="16" t="s">
        <v>16</v>
      </c>
      <c r="M187" s="16" t="s">
        <v>14</v>
      </c>
      <c r="N187" s="16" t="s">
        <v>17</v>
      </c>
      <c r="O187" s="15" cm="1">
        <f t="array" ref="O187">SUMPRODUCT(_xlfn.XLOOKUP(G187:N187, $X$2:$X$6, $Y$2:$Y$6,0), $G$4:$N$4) / SUM($G$4:$N$4)</f>
        <v>2.6363636363636362</v>
      </c>
      <c r="P187" s="1" t="s">
        <v>16</v>
      </c>
      <c r="Q187" s="1" t="s">
        <v>15</v>
      </c>
      <c r="R187" s="1" t="s">
        <v>17</v>
      </c>
      <c r="S187" s="1" t="s">
        <v>15</v>
      </c>
      <c r="T187" s="1" t="s">
        <v>16</v>
      </c>
      <c r="U187" s="15" cm="1">
        <f t="array" ref="U187">SUMPRODUCT(_xlfn.XLOOKUP(P187:T187, $X$2:$X$6, $Y$2:$Y$6, 0), $P$4:$T$4) / SUM($P$4:$T$4)</f>
        <v>2.9333333333333331</v>
      </c>
    </row>
    <row r="188" spans="1:21">
      <c r="A188" s="1">
        <v>1101491124</v>
      </c>
      <c r="B188" s="1" t="s">
        <v>448</v>
      </c>
      <c r="C188" s="1" t="s">
        <v>449</v>
      </c>
      <c r="D188" s="15" cm="1">
        <f t="array" ref="D188">(SUMPRODUCT(_xlfn.XLOOKUP(TRIM(G188:N188), $X$2:$X$6, $Y$2:$Y$6, 0), $G$4:$N$4) + SUMPRODUCT(_xlfn.XLOOKUP(TRIM(P188:T188), $X$2:$X$6, $Y$2:$Y$6, 0), $P$4:$T$4)) / SUM($G$4:$N$4, $P$4:$T$4)</f>
        <v>2.9189189189189189</v>
      </c>
      <c r="E188" s="1" t="s">
        <v>313</v>
      </c>
      <c r="G188" s="16" t="s">
        <v>16</v>
      </c>
      <c r="H188" s="16" t="s">
        <v>16</v>
      </c>
      <c r="I188" s="16" t="s">
        <v>16</v>
      </c>
      <c r="J188" s="16" t="s">
        <v>16</v>
      </c>
      <c r="K188" s="16" t="s">
        <v>14</v>
      </c>
      <c r="L188" s="16" t="s">
        <v>15</v>
      </c>
      <c r="M188" s="16" t="s">
        <v>14</v>
      </c>
      <c r="N188" s="16" t="s">
        <v>15</v>
      </c>
      <c r="O188" s="15" cm="1">
        <f t="array" ref="O188">SUMPRODUCT(_xlfn.XLOOKUP(G188:N188, $X$2:$X$6, $Y$2:$Y$6,0), $G$4:$N$4) / SUM($G$4:$N$4)</f>
        <v>3.2727272727272729</v>
      </c>
      <c r="P188" s="1" t="s">
        <v>17</v>
      </c>
      <c r="Q188" s="1" t="s">
        <v>17</v>
      </c>
      <c r="R188" s="1" t="s">
        <v>15</v>
      </c>
      <c r="S188" s="1" t="s">
        <v>17</v>
      </c>
      <c r="T188" s="1" t="s">
        <v>17</v>
      </c>
      <c r="U188" s="15" cm="1">
        <f t="array" ref="U188">SUMPRODUCT(_xlfn.XLOOKUP(P188:T188, $X$2:$X$6, $Y$2:$Y$6, 0), $P$4:$T$4) / SUM($P$4:$T$4)</f>
        <v>2.4</v>
      </c>
    </row>
    <row r="189" spans="1:21">
      <c r="A189" s="1">
        <v>2100332024</v>
      </c>
      <c r="B189" s="1" t="s">
        <v>450</v>
      </c>
      <c r="C189" s="1" t="s">
        <v>451</v>
      </c>
      <c r="D189" s="15" cm="1">
        <f t="array" ref="D189">(SUMPRODUCT(_xlfn.XLOOKUP(TRIM(G189:N189), $X$2:$X$6, $Y$2:$Y$6, 0), $G$4:$N$4) + SUMPRODUCT(_xlfn.XLOOKUP(TRIM(P189:T189), $X$2:$X$6, $Y$2:$Y$6, 0), $P$4:$T$4)) / SUM($G$4:$N$4, $P$4:$T$4)</f>
        <v>3</v>
      </c>
      <c r="E189" s="1" t="s">
        <v>313</v>
      </c>
      <c r="G189" s="16" t="s">
        <v>17</v>
      </c>
      <c r="H189" s="16" t="s">
        <v>14</v>
      </c>
      <c r="I189" s="16" t="s">
        <v>14</v>
      </c>
      <c r="J189" s="16" t="s">
        <v>16</v>
      </c>
      <c r="K189" s="16" t="s">
        <v>15</v>
      </c>
      <c r="L189" s="16" t="s">
        <v>17</v>
      </c>
      <c r="M189" s="16" t="s">
        <v>15</v>
      </c>
      <c r="N189" s="16" t="s">
        <v>16</v>
      </c>
      <c r="O189" s="15" cm="1">
        <f t="array" ref="O189">SUMPRODUCT(_xlfn.XLOOKUP(G189:N189, $X$2:$X$6, $Y$2:$Y$6,0), $G$4:$N$4) / SUM($G$4:$N$4)</f>
        <v>3.2727272727272729</v>
      </c>
      <c r="P189" s="1" t="s">
        <v>16</v>
      </c>
      <c r="Q189" s="1" t="s">
        <v>17</v>
      </c>
      <c r="R189" s="1" t="s">
        <v>16</v>
      </c>
      <c r="S189" s="1" t="s">
        <v>17</v>
      </c>
      <c r="T189" s="1" t="s">
        <v>16</v>
      </c>
      <c r="U189" s="15" cm="1">
        <f t="array" ref="U189">SUMPRODUCT(_xlfn.XLOOKUP(P189:T189, $X$2:$X$6, $Y$2:$Y$6, 0), $P$4:$T$4) / SUM($P$4:$T$4)</f>
        <v>2.6</v>
      </c>
    </row>
    <row r="190" spans="1:21">
      <c r="A190" s="1">
        <v>1101469824</v>
      </c>
      <c r="B190" s="1" t="s">
        <v>452</v>
      </c>
      <c r="C190" s="1" t="s">
        <v>453</v>
      </c>
      <c r="D190" s="15" cm="1">
        <f t="array" ref="D190">(SUMPRODUCT(_xlfn.XLOOKUP(TRIM(G190:N190), $X$2:$X$6, $Y$2:$Y$6, 0), $G$4:$N$4) + SUMPRODUCT(_xlfn.XLOOKUP(TRIM(P190:T190), $X$2:$X$6, $Y$2:$Y$6, 0), $P$4:$T$4)) / SUM($G$4:$N$4, $P$4:$T$4)</f>
        <v>3.189189189189189</v>
      </c>
      <c r="E190" s="1" t="s">
        <v>313</v>
      </c>
      <c r="G190" s="16" t="s">
        <v>16</v>
      </c>
      <c r="H190" s="16" t="s">
        <v>17</v>
      </c>
      <c r="I190" s="16" t="s">
        <v>16</v>
      </c>
      <c r="J190" s="16" t="s">
        <v>16</v>
      </c>
      <c r="K190" s="16" t="s">
        <v>16</v>
      </c>
      <c r="L190" s="16" t="s">
        <v>15</v>
      </c>
      <c r="M190" s="16" t="s">
        <v>14</v>
      </c>
      <c r="N190" s="16" t="s">
        <v>15</v>
      </c>
      <c r="O190" s="15" cm="1">
        <f t="array" ref="O190">SUMPRODUCT(_xlfn.XLOOKUP(G190:N190, $X$2:$X$6, $Y$2:$Y$6,0), $G$4:$N$4) / SUM($G$4:$N$4)</f>
        <v>3</v>
      </c>
      <c r="P190" s="1" t="s">
        <v>16</v>
      </c>
      <c r="Q190" s="1" t="s">
        <v>14</v>
      </c>
      <c r="R190" s="1" t="s">
        <v>15</v>
      </c>
      <c r="S190" s="1" t="s">
        <v>15</v>
      </c>
      <c r="T190" s="1" t="s">
        <v>15</v>
      </c>
      <c r="U190" s="15" cm="1">
        <f t="array" ref="U190">SUMPRODUCT(_xlfn.XLOOKUP(P190:T190, $X$2:$X$6, $Y$2:$Y$6, 0), $P$4:$T$4) / SUM($P$4:$T$4)</f>
        <v>3.4666666666666668</v>
      </c>
    </row>
    <row r="191" spans="1:21">
      <c r="A191" s="1">
        <v>1105967824</v>
      </c>
      <c r="B191" s="1" t="s">
        <v>454</v>
      </c>
      <c r="C191" s="1" t="s">
        <v>455</v>
      </c>
      <c r="D191" s="15" cm="1">
        <f t="array" ref="D191">(SUMPRODUCT(_xlfn.XLOOKUP(TRIM(G191:N191), $X$2:$X$6, $Y$2:$Y$6, 0), $G$4:$N$4) + SUMPRODUCT(_xlfn.XLOOKUP(TRIM(P191:T191), $X$2:$X$6, $Y$2:$Y$6, 0), $P$4:$T$4)) / SUM($G$4:$N$4, $P$4:$T$4)</f>
        <v>3.310810810810811</v>
      </c>
      <c r="E191" s="1" t="s">
        <v>313</v>
      </c>
      <c r="G191" s="16" t="s">
        <v>17</v>
      </c>
      <c r="H191" s="16" t="s">
        <v>16</v>
      </c>
      <c r="I191" s="16" t="s">
        <v>16</v>
      </c>
      <c r="J191" s="16" t="s">
        <v>14</v>
      </c>
      <c r="K191" s="16" t="s">
        <v>15</v>
      </c>
      <c r="L191" s="16" t="s">
        <v>16</v>
      </c>
      <c r="M191" s="16" t="s">
        <v>15</v>
      </c>
      <c r="N191" s="16" t="s">
        <v>16</v>
      </c>
      <c r="O191" s="15" cm="1">
        <f t="array" ref="O191">SUMPRODUCT(_xlfn.XLOOKUP(G191:N191, $X$2:$X$6, $Y$2:$Y$6,0), $G$4:$N$4) / SUM($G$4:$N$4)</f>
        <v>3.1818181818181817</v>
      </c>
      <c r="P191" s="1" t="s">
        <v>15</v>
      </c>
      <c r="Q191" s="1" t="s">
        <v>16</v>
      </c>
      <c r="R191" s="1" t="s">
        <v>14</v>
      </c>
      <c r="S191" s="1" t="s">
        <v>15</v>
      </c>
      <c r="T191" s="1" t="s">
        <v>16</v>
      </c>
      <c r="U191" s="15" cm="1">
        <f t="array" ref="U191">SUMPRODUCT(_xlfn.XLOOKUP(P191:T191, $X$2:$X$6, $Y$2:$Y$6, 0), $P$4:$T$4) / SUM($P$4:$T$4)</f>
        <v>3.5</v>
      </c>
    </row>
    <row r="192" spans="1:21">
      <c r="A192" s="1">
        <v>1106114524</v>
      </c>
      <c r="B192" s="1" t="s">
        <v>456</v>
      </c>
      <c r="C192" s="1" t="s">
        <v>457</v>
      </c>
      <c r="D192" s="15" cm="1">
        <f t="array" ref="D192">(SUMPRODUCT(_xlfn.XLOOKUP(TRIM(G192:N192), $X$2:$X$6, $Y$2:$Y$6, 0), $G$4:$N$4) + SUMPRODUCT(_xlfn.XLOOKUP(TRIM(P192:T192), $X$2:$X$6, $Y$2:$Y$6, 0), $P$4:$T$4)) / SUM($G$4:$N$4, $P$4:$T$4)</f>
        <v>3.0540540540540539</v>
      </c>
      <c r="E192" s="1" t="s">
        <v>313</v>
      </c>
      <c r="G192" s="16" t="s">
        <v>14</v>
      </c>
      <c r="H192" s="16" t="s">
        <v>14</v>
      </c>
      <c r="I192" s="16" t="s">
        <v>16</v>
      </c>
      <c r="J192" s="16" t="s">
        <v>15</v>
      </c>
      <c r="K192" s="16" t="s">
        <v>17</v>
      </c>
      <c r="L192" s="16" t="s">
        <v>14</v>
      </c>
      <c r="M192" s="16" t="s">
        <v>14</v>
      </c>
      <c r="N192" s="16" t="s">
        <v>16</v>
      </c>
      <c r="O192" s="15" cm="1">
        <f t="array" ref="O192">SUMPRODUCT(_xlfn.XLOOKUP(G192:N192, $X$2:$X$6, $Y$2:$Y$6,0), $G$4:$N$4) / SUM($G$4:$N$4)</f>
        <v>3.4545454545454546</v>
      </c>
      <c r="P192" s="1" t="s">
        <v>17</v>
      </c>
      <c r="Q192" s="1" t="s">
        <v>17</v>
      </c>
      <c r="R192" s="1" t="s">
        <v>17</v>
      </c>
      <c r="S192" s="1" t="s">
        <v>16</v>
      </c>
      <c r="T192" s="1" t="s">
        <v>15</v>
      </c>
      <c r="U192" s="15" cm="1">
        <f t="array" ref="U192">SUMPRODUCT(_xlfn.XLOOKUP(P192:T192, $X$2:$X$6, $Y$2:$Y$6, 0), $P$4:$T$4) / SUM($P$4:$T$4)</f>
        <v>2.4666666666666668</v>
      </c>
    </row>
    <row r="193" spans="1:21">
      <c r="A193" s="1">
        <v>2100818324</v>
      </c>
      <c r="B193" s="1" t="s">
        <v>458</v>
      </c>
      <c r="C193" s="1" t="s">
        <v>459</v>
      </c>
      <c r="D193" s="15" cm="1">
        <f t="array" ref="D193">(SUMPRODUCT(_xlfn.XLOOKUP(TRIM(G193:N193), $X$2:$X$6, $Y$2:$Y$6, 0), $G$4:$N$4) + SUMPRODUCT(_xlfn.XLOOKUP(TRIM(P193:T193), $X$2:$X$6, $Y$2:$Y$6, 0), $P$4:$T$4)) / SUM($G$4:$N$4, $P$4:$T$4)</f>
        <v>3.2702702702702702</v>
      </c>
      <c r="E193" s="1" t="s">
        <v>313</v>
      </c>
      <c r="G193" s="16" t="s">
        <v>14</v>
      </c>
      <c r="H193" s="16" t="s">
        <v>16</v>
      </c>
      <c r="I193" s="16" t="s">
        <v>17</v>
      </c>
      <c r="J193" s="16" t="s">
        <v>14</v>
      </c>
      <c r="K193" s="16" t="s">
        <v>14</v>
      </c>
      <c r="L193" s="16" t="s">
        <v>17</v>
      </c>
      <c r="M193" s="16" t="s">
        <v>17</v>
      </c>
      <c r="N193" s="16" t="s">
        <v>14</v>
      </c>
      <c r="O193" s="15" cm="1">
        <f t="array" ref="O193">SUMPRODUCT(_xlfn.XLOOKUP(G193:N193, $X$2:$X$6, $Y$2:$Y$6,0), $G$4:$N$4) / SUM($G$4:$N$4)</f>
        <v>3.0909090909090908</v>
      </c>
      <c r="P193" s="1" t="s">
        <v>14</v>
      </c>
      <c r="Q193" s="1" t="s">
        <v>15</v>
      </c>
      <c r="R193" s="1" t="s">
        <v>15</v>
      </c>
      <c r="S193" s="1" t="s">
        <v>16</v>
      </c>
      <c r="T193" s="1" t="s">
        <v>14</v>
      </c>
      <c r="U193" s="15" cm="1">
        <f t="array" ref="U193">SUMPRODUCT(_xlfn.XLOOKUP(P193:T193, $X$2:$X$6, $Y$2:$Y$6, 0), $P$4:$T$4) / SUM($P$4:$T$4)</f>
        <v>3.5333333333333332</v>
      </c>
    </row>
    <row r="194" spans="1:21">
      <c r="A194" s="1">
        <v>1105274524</v>
      </c>
      <c r="B194" s="1" t="s">
        <v>460</v>
      </c>
      <c r="C194" s="1" t="s">
        <v>461</v>
      </c>
      <c r="D194" s="15" cm="1">
        <f t="array" ref="D194">(SUMPRODUCT(_xlfn.XLOOKUP(TRIM(G194:N194), $X$2:$X$6, $Y$2:$Y$6, 0), $G$4:$N$4) + SUMPRODUCT(_xlfn.XLOOKUP(TRIM(P194:T194), $X$2:$X$6, $Y$2:$Y$6, 0), $P$4:$T$4)) / SUM($G$4:$N$4, $P$4:$T$4)</f>
        <v>3.0810810810810811</v>
      </c>
      <c r="E194" s="1" t="s">
        <v>313</v>
      </c>
      <c r="G194" s="16" t="s">
        <v>15</v>
      </c>
      <c r="H194" s="16" t="s">
        <v>14</v>
      </c>
      <c r="I194" s="16" t="s">
        <v>17</v>
      </c>
      <c r="J194" s="16" t="s">
        <v>15</v>
      </c>
      <c r="K194" s="16" t="s">
        <v>17</v>
      </c>
      <c r="L194" s="16" t="s">
        <v>17</v>
      </c>
      <c r="M194" s="16" t="s">
        <v>17</v>
      </c>
      <c r="N194" s="16" t="s">
        <v>16</v>
      </c>
      <c r="O194" s="15" cm="1">
        <f t="array" ref="O194">SUMPRODUCT(_xlfn.XLOOKUP(G194:N194, $X$2:$X$6, $Y$2:$Y$6,0), $G$4:$N$4) / SUM($G$4:$N$4)</f>
        <v>2.8636363636363638</v>
      </c>
      <c r="P194" s="1" t="s">
        <v>17</v>
      </c>
      <c r="Q194" s="1" t="s">
        <v>16</v>
      </c>
      <c r="R194" s="1" t="s">
        <v>14</v>
      </c>
      <c r="S194" s="1" t="s">
        <v>14</v>
      </c>
      <c r="T194" s="1" t="s">
        <v>15</v>
      </c>
      <c r="U194" s="15" cm="1">
        <f t="array" ref="U194">SUMPRODUCT(_xlfn.XLOOKUP(P194:T194, $X$2:$X$6, $Y$2:$Y$6, 0), $P$4:$T$4) / SUM($P$4:$T$4)</f>
        <v>3.4</v>
      </c>
    </row>
    <row r="195" spans="1:21">
      <c r="A195" s="1">
        <v>1102139224</v>
      </c>
      <c r="B195" s="1" t="s">
        <v>462</v>
      </c>
      <c r="C195" s="1" t="s">
        <v>463</v>
      </c>
      <c r="D195" s="15" cm="1">
        <f t="array" ref="D195">(SUMPRODUCT(_xlfn.XLOOKUP(TRIM(G195:N195), $X$2:$X$6, $Y$2:$Y$6, 0), $G$4:$N$4) + SUMPRODUCT(_xlfn.XLOOKUP(TRIM(P195:T195), $X$2:$X$6, $Y$2:$Y$6, 0), $P$4:$T$4)) / SUM($G$4:$N$4, $P$4:$T$4)</f>
        <v>3.1351351351351351</v>
      </c>
      <c r="E195" s="1" t="s">
        <v>313</v>
      </c>
      <c r="G195" s="16" t="s">
        <v>15</v>
      </c>
      <c r="H195" s="16" t="s">
        <v>16</v>
      </c>
      <c r="I195" s="16" t="s">
        <v>14</v>
      </c>
      <c r="J195" s="16" t="s">
        <v>15</v>
      </c>
      <c r="K195" s="16" t="s">
        <v>15</v>
      </c>
      <c r="L195" s="16" t="s">
        <v>15</v>
      </c>
      <c r="M195" s="16" t="s">
        <v>14</v>
      </c>
      <c r="N195" s="16" t="s">
        <v>15</v>
      </c>
      <c r="O195" s="15" cm="1">
        <f t="array" ref="O195">SUMPRODUCT(_xlfn.XLOOKUP(G195:N195, $X$2:$X$6, $Y$2:$Y$6,0), $G$4:$N$4) / SUM($G$4:$N$4)</f>
        <v>3.5454545454545454</v>
      </c>
      <c r="P195" s="1" t="s">
        <v>14</v>
      </c>
      <c r="Q195" s="1" t="s">
        <v>17</v>
      </c>
      <c r="R195" s="1" t="s">
        <v>17</v>
      </c>
      <c r="S195" s="1" t="s">
        <v>17</v>
      </c>
      <c r="T195" s="1" t="s">
        <v>16</v>
      </c>
      <c r="U195" s="15" cm="1">
        <f t="array" ref="U195">SUMPRODUCT(_xlfn.XLOOKUP(P195:T195, $X$2:$X$6, $Y$2:$Y$6, 0), $P$4:$T$4) / SUM($P$4:$T$4)</f>
        <v>2.5333333333333332</v>
      </c>
    </row>
    <row r="196" spans="1:21">
      <c r="A196" s="1">
        <v>2100658124</v>
      </c>
      <c r="B196" s="1" t="s">
        <v>464</v>
      </c>
      <c r="C196" s="1" t="s">
        <v>465</v>
      </c>
      <c r="D196" s="15" cm="1">
        <f t="array" ref="D196">(SUMPRODUCT(_xlfn.XLOOKUP(TRIM(G196:N196), $X$2:$X$6, $Y$2:$Y$6, 0), $G$4:$N$4) + SUMPRODUCT(_xlfn.XLOOKUP(TRIM(P196:T196), $X$2:$X$6, $Y$2:$Y$6, 0), $P$4:$T$4)) / SUM($G$4:$N$4, $P$4:$T$4)</f>
        <v>3.310810810810811</v>
      </c>
      <c r="E196" s="1" t="s">
        <v>313</v>
      </c>
      <c r="G196" s="16" t="s">
        <v>14</v>
      </c>
      <c r="H196" s="16" t="s">
        <v>15</v>
      </c>
      <c r="I196" s="16" t="s">
        <v>16</v>
      </c>
      <c r="J196" s="16" t="s">
        <v>16</v>
      </c>
      <c r="K196" s="16" t="s">
        <v>17</v>
      </c>
      <c r="L196" s="16" t="s">
        <v>14</v>
      </c>
      <c r="M196" s="16" t="s">
        <v>15</v>
      </c>
      <c r="N196" s="16" t="s">
        <v>16</v>
      </c>
      <c r="O196" s="15" cm="1">
        <f t="array" ref="O196">SUMPRODUCT(_xlfn.XLOOKUP(G196:N196, $X$2:$X$6, $Y$2:$Y$6,0), $G$4:$N$4) / SUM($G$4:$N$4)</f>
        <v>3.2272727272727271</v>
      </c>
      <c r="P196" s="1" t="s">
        <v>15</v>
      </c>
      <c r="Q196" s="1" t="s">
        <v>17</v>
      </c>
      <c r="R196" s="1" t="s">
        <v>14</v>
      </c>
      <c r="S196" s="1" t="s">
        <v>15</v>
      </c>
      <c r="T196" s="1" t="s">
        <v>15</v>
      </c>
      <c r="U196" s="15" cm="1">
        <f t="array" ref="U196">SUMPRODUCT(_xlfn.XLOOKUP(P196:T196, $X$2:$X$6, $Y$2:$Y$6, 0), $P$4:$T$4) / SUM($P$4:$T$4)</f>
        <v>3.4333333333333331</v>
      </c>
    </row>
    <row r="197" spans="1:21">
      <c r="A197" s="1">
        <v>1101261324</v>
      </c>
      <c r="B197" s="1" t="s">
        <v>466</v>
      </c>
      <c r="C197" s="1" t="s">
        <v>467</v>
      </c>
      <c r="D197" s="15" cm="1">
        <f t="array" ref="D197">(SUMPRODUCT(_xlfn.XLOOKUP(TRIM(G197:N197), $X$2:$X$6, $Y$2:$Y$6, 0), $G$4:$N$4) + SUMPRODUCT(_xlfn.XLOOKUP(TRIM(P197:T197), $X$2:$X$6, $Y$2:$Y$6, 0), $P$4:$T$4)) / SUM($G$4:$N$4, $P$4:$T$4)</f>
        <v>3.1621621621621623</v>
      </c>
      <c r="E197" s="1" t="s">
        <v>313</v>
      </c>
      <c r="G197" s="16" t="s">
        <v>16</v>
      </c>
      <c r="H197" s="16" t="s">
        <v>15</v>
      </c>
      <c r="I197" s="16" t="s">
        <v>14</v>
      </c>
      <c r="J197" s="16" t="s">
        <v>14</v>
      </c>
      <c r="K197" s="16" t="s">
        <v>15</v>
      </c>
      <c r="L197" s="16" t="s">
        <v>16</v>
      </c>
      <c r="M197" s="16" t="s">
        <v>16</v>
      </c>
      <c r="N197" s="16" t="s">
        <v>17</v>
      </c>
      <c r="O197" s="15" cm="1">
        <f t="array" ref="O197">SUMPRODUCT(_xlfn.XLOOKUP(G197:N197, $X$2:$X$6, $Y$2:$Y$6,0), $G$4:$N$4) / SUM($G$4:$N$4)</f>
        <v>3.4090909090909092</v>
      </c>
      <c r="P197" s="1" t="s">
        <v>14</v>
      </c>
      <c r="Q197" s="1" t="s">
        <v>17</v>
      </c>
      <c r="R197" s="1" t="s">
        <v>16</v>
      </c>
      <c r="S197" s="1" t="s">
        <v>17</v>
      </c>
      <c r="T197" s="1" t="s">
        <v>16</v>
      </c>
      <c r="U197" s="15" cm="1">
        <f t="array" ref="U197">SUMPRODUCT(_xlfn.XLOOKUP(P197:T197, $X$2:$X$6, $Y$2:$Y$6, 0), $P$4:$T$4) / SUM($P$4:$T$4)</f>
        <v>2.8</v>
      </c>
    </row>
    <row r="198" spans="1:21">
      <c r="A198" s="1">
        <v>1103405224</v>
      </c>
      <c r="B198" s="1" t="s">
        <v>468</v>
      </c>
      <c r="C198" s="1" t="s">
        <v>469</v>
      </c>
      <c r="D198" s="15" cm="1">
        <f t="array" ref="D198">(SUMPRODUCT(_xlfn.XLOOKUP(TRIM(G198:N198), $X$2:$X$6, $Y$2:$Y$6, 0), $G$4:$N$4) + SUMPRODUCT(_xlfn.XLOOKUP(TRIM(P198:T198), $X$2:$X$6, $Y$2:$Y$6, 0), $P$4:$T$4)) / SUM($G$4:$N$4, $P$4:$T$4)</f>
        <v>3.3243243243243241</v>
      </c>
      <c r="E198" s="1" t="s">
        <v>313</v>
      </c>
      <c r="G198" s="16" t="s">
        <v>17</v>
      </c>
      <c r="H198" s="16" t="s">
        <v>17</v>
      </c>
      <c r="I198" s="16" t="s">
        <v>14</v>
      </c>
      <c r="J198" s="16" t="s">
        <v>14</v>
      </c>
      <c r="K198" s="16" t="s">
        <v>17</v>
      </c>
      <c r="L198" s="16" t="s">
        <v>16</v>
      </c>
      <c r="M198" s="16" t="s">
        <v>16</v>
      </c>
      <c r="N198" s="16" t="s">
        <v>14</v>
      </c>
      <c r="O198" s="15" cm="1">
        <f t="array" ref="O198">SUMPRODUCT(_xlfn.XLOOKUP(G198:N198, $X$2:$X$6, $Y$2:$Y$6,0), $G$4:$N$4) / SUM($G$4:$N$4)</f>
        <v>3.0909090909090908</v>
      </c>
      <c r="P198" s="1" t="s">
        <v>14</v>
      </c>
      <c r="Q198" s="1" t="s">
        <v>15</v>
      </c>
      <c r="R198" s="1" t="s">
        <v>14</v>
      </c>
      <c r="S198" s="1" t="s">
        <v>16</v>
      </c>
      <c r="T198" s="1" t="s">
        <v>14</v>
      </c>
      <c r="U198" s="15" cm="1">
        <f t="array" ref="U198">SUMPRODUCT(_xlfn.XLOOKUP(P198:T198, $X$2:$X$6, $Y$2:$Y$6, 0), $P$4:$T$4) / SUM($P$4:$T$4)</f>
        <v>3.6666666666666665</v>
      </c>
    </row>
    <row r="199" spans="1:21">
      <c r="A199" s="1">
        <v>2101140124</v>
      </c>
      <c r="B199" s="1" t="s">
        <v>470</v>
      </c>
      <c r="C199" s="1" t="s">
        <v>471</v>
      </c>
      <c r="D199" s="15" cm="1">
        <f t="array" ref="D199">(SUMPRODUCT(_xlfn.XLOOKUP(TRIM(G199:N199), $X$2:$X$6, $Y$2:$Y$6, 0), $G$4:$N$4) + SUMPRODUCT(_xlfn.XLOOKUP(TRIM(P199:T199), $X$2:$X$6, $Y$2:$Y$6, 0), $P$4:$T$4)) / SUM($G$4:$N$4, $P$4:$T$4)</f>
        <v>2.5945945945945947</v>
      </c>
      <c r="E199" s="1" t="s">
        <v>313</v>
      </c>
      <c r="G199" s="16" t="s">
        <v>15</v>
      </c>
      <c r="H199" s="16" t="s">
        <v>17</v>
      </c>
      <c r="I199" s="16" t="s">
        <v>17</v>
      </c>
      <c r="J199" s="16" t="s">
        <v>16</v>
      </c>
      <c r="K199" s="16" t="s">
        <v>15</v>
      </c>
      <c r="L199" s="16" t="s">
        <v>17</v>
      </c>
      <c r="M199" s="16" t="s">
        <v>17</v>
      </c>
      <c r="N199" s="16" t="s">
        <v>14</v>
      </c>
      <c r="O199" s="15" cm="1">
        <f t="array" ref="O199">SUMPRODUCT(_xlfn.XLOOKUP(G199:N199, $X$2:$X$6, $Y$2:$Y$6,0), $G$4:$N$4) / SUM($G$4:$N$4)</f>
        <v>2.6363636363636362</v>
      </c>
      <c r="P199" s="1" t="s">
        <v>17</v>
      </c>
      <c r="Q199" s="1" t="s">
        <v>16</v>
      </c>
      <c r="R199" s="1" t="s">
        <v>17</v>
      </c>
      <c r="S199" s="1" t="s">
        <v>16</v>
      </c>
      <c r="T199" s="1" t="s">
        <v>16</v>
      </c>
      <c r="U199" s="15" cm="1">
        <f t="array" ref="U199">SUMPRODUCT(_xlfn.XLOOKUP(P199:T199, $X$2:$X$6, $Y$2:$Y$6, 0), $P$4:$T$4) / SUM($P$4:$T$4)</f>
        <v>2.5333333333333332</v>
      </c>
    </row>
    <row r="200" spans="1:21">
      <c r="A200" s="1">
        <v>2200037624</v>
      </c>
      <c r="B200" s="1" t="s">
        <v>472</v>
      </c>
      <c r="C200" s="1" t="s">
        <v>473</v>
      </c>
      <c r="D200" s="15" cm="1">
        <f t="array" ref="D200">(SUMPRODUCT(_xlfn.XLOOKUP(TRIM(G200:N200), $X$2:$X$6, $Y$2:$Y$6, 0), $G$4:$N$4) + SUMPRODUCT(_xlfn.XLOOKUP(TRIM(P200:T200), $X$2:$X$6, $Y$2:$Y$6, 0), $P$4:$T$4)) / SUM($G$4:$N$4, $P$4:$T$4)</f>
        <v>2.9189189189189189</v>
      </c>
      <c r="E200" s="1" t="s">
        <v>313</v>
      </c>
      <c r="G200" s="16" t="s">
        <v>14</v>
      </c>
      <c r="H200" s="16" t="s">
        <v>15</v>
      </c>
      <c r="I200" s="16" t="s">
        <v>16</v>
      </c>
      <c r="J200" s="16" t="s">
        <v>17</v>
      </c>
      <c r="K200" s="16" t="s">
        <v>17</v>
      </c>
      <c r="L200" s="16" t="s">
        <v>16</v>
      </c>
      <c r="M200" s="16" t="s">
        <v>17</v>
      </c>
      <c r="N200" s="16" t="s">
        <v>14</v>
      </c>
      <c r="O200" s="15" cm="1">
        <f t="array" ref="O200">SUMPRODUCT(_xlfn.XLOOKUP(G200:N200, $X$2:$X$6, $Y$2:$Y$6,0), $G$4:$N$4) / SUM($G$4:$N$4)</f>
        <v>2.9090909090909092</v>
      </c>
      <c r="P200" s="1" t="s">
        <v>17</v>
      </c>
      <c r="Q200" s="1" t="s">
        <v>14</v>
      </c>
      <c r="R200" s="1" t="s">
        <v>16</v>
      </c>
      <c r="S200" s="1" t="s">
        <v>16</v>
      </c>
      <c r="T200" s="1" t="s">
        <v>16</v>
      </c>
      <c r="U200" s="15" cm="1">
        <f t="array" ref="U200">SUMPRODUCT(_xlfn.XLOOKUP(P200:T200, $X$2:$X$6, $Y$2:$Y$6, 0), $P$4:$T$4) / SUM($P$4:$T$4)</f>
        <v>2.9333333333333331</v>
      </c>
    </row>
    <row r="201" spans="1:21">
      <c r="A201" s="1">
        <v>1104722724</v>
      </c>
      <c r="B201" s="1" t="s">
        <v>474</v>
      </c>
      <c r="C201" s="1" t="s">
        <v>475</v>
      </c>
      <c r="D201" s="15" cm="1">
        <f t="array" ref="D201">(SUMPRODUCT(_xlfn.XLOOKUP(TRIM(G201:N201), $X$2:$X$6, $Y$2:$Y$6, 0), $G$4:$N$4) + SUMPRODUCT(_xlfn.XLOOKUP(TRIM(P201:T201), $X$2:$X$6, $Y$2:$Y$6, 0), $P$4:$T$4)) / SUM($G$4:$N$4, $P$4:$T$4)</f>
        <v>3</v>
      </c>
      <c r="E201" s="1" t="s">
        <v>313</v>
      </c>
      <c r="G201" s="16" t="s">
        <v>14</v>
      </c>
      <c r="H201" s="16" t="s">
        <v>17</v>
      </c>
      <c r="I201" s="16" t="s">
        <v>14</v>
      </c>
      <c r="J201" s="16" t="s">
        <v>17</v>
      </c>
      <c r="K201" s="16" t="s">
        <v>17</v>
      </c>
      <c r="L201" s="16" t="s">
        <v>14</v>
      </c>
      <c r="M201" s="16" t="s">
        <v>15</v>
      </c>
      <c r="N201" s="16" t="s">
        <v>16</v>
      </c>
      <c r="O201" s="15" cm="1">
        <f t="array" ref="O201">SUMPRODUCT(_xlfn.XLOOKUP(G201:N201, $X$2:$X$6, $Y$2:$Y$6,0), $G$4:$N$4) / SUM($G$4:$N$4)</f>
        <v>2.9545454545454546</v>
      </c>
      <c r="P201" s="1" t="s">
        <v>17</v>
      </c>
      <c r="Q201" s="1" t="s">
        <v>17</v>
      </c>
      <c r="R201" s="1" t="s">
        <v>14</v>
      </c>
      <c r="S201" s="1" t="s">
        <v>15</v>
      </c>
      <c r="T201" s="1" t="s">
        <v>16</v>
      </c>
      <c r="U201" s="15" cm="1">
        <f t="array" ref="U201">SUMPRODUCT(_xlfn.XLOOKUP(P201:T201, $X$2:$X$6, $Y$2:$Y$6, 0), $P$4:$T$4) / SUM($P$4:$T$4)</f>
        <v>3.0666666666666669</v>
      </c>
    </row>
    <row r="202" spans="1:21">
      <c r="A202" s="1">
        <v>2100265424</v>
      </c>
      <c r="B202" s="1" t="s">
        <v>476</v>
      </c>
      <c r="C202" s="1" t="s">
        <v>477</v>
      </c>
      <c r="D202" s="15" cm="1">
        <f t="array" ref="D202">(SUMPRODUCT(_xlfn.XLOOKUP(TRIM(G202:N202), $X$2:$X$6, $Y$2:$Y$6, 0), $G$4:$N$4) + SUMPRODUCT(_xlfn.XLOOKUP(TRIM(P202:T202), $X$2:$X$6, $Y$2:$Y$6, 0), $P$4:$T$4)) / SUM($G$4:$N$4, $P$4:$T$4)</f>
        <v>3.0540540540540539</v>
      </c>
      <c r="E202" s="1" t="s">
        <v>313</v>
      </c>
      <c r="G202" s="16" t="s">
        <v>15</v>
      </c>
      <c r="H202" s="16" t="s">
        <v>16</v>
      </c>
      <c r="I202" s="16" t="s">
        <v>17</v>
      </c>
      <c r="J202" s="16" t="s">
        <v>17</v>
      </c>
      <c r="K202" s="16" t="s">
        <v>14</v>
      </c>
      <c r="L202" s="16" t="s">
        <v>14</v>
      </c>
      <c r="M202" s="16" t="s">
        <v>15</v>
      </c>
      <c r="N202" s="16" t="s">
        <v>15</v>
      </c>
      <c r="O202" s="15" cm="1">
        <f t="array" ref="O202">SUMPRODUCT(_xlfn.XLOOKUP(G202:N202, $X$2:$X$6, $Y$2:$Y$6,0), $G$4:$N$4) / SUM($G$4:$N$4)</f>
        <v>2.9545454545454546</v>
      </c>
      <c r="P202" s="1" t="s">
        <v>16</v>
      </c>
      <c r="Q202" s="1" t="s">
        <v>14</v>
      </c>
      <c r="R202" s="1" t="s">
        <v>17</v>
      </c>
      <c r="S202" s="1" t="s">
        <v>14</v>
      </c>
      <c r="T202" s="1" t="s">
        <v>15</v>
      </c>
      <c r="U202" s="15" cm="1">
        <f t="array" ref="U202">SUMPRODUCT(_xlfn.XLOOKUP(P202:T202, $X$2:$X$6, $Y$2:$Y$6, 0), $P$4:$T$4) / SUM($P$4:$T$4)</f>
        <v>3.2</v>
      </c>
    </row>
    <row r="203" spans="1:21">
      <c r="A203" s="1">
        <v>2190018324</v>
      </c>
      <c r="B203" s="1" t="s">
        <v>478</v>
      </c>
      <c r="C203" s="1" t="s">
        <v>479</v>
      </c>
      <c r="D203" s="15" cm="1">
        <f t="array" ref="D203">(SUMPRODUCT(_xlfn.XLOOKUP(TRIM(G203:N203), $X$2:$X$6, $Y$2:$Y$6, 0), $G$4:$N$4) + SUMPRODUCT(_xlfn.XLOOKUP(TRIM(P203:T203), $X$2:$X$6, $Y$2:$Y$6, 0), $P$4:$T$4)) / SUM($G$4:$N$4, $P$4:$T$4)</f>
        <v>2.8378378378378377</v>
      </c>
      <c r="E203" s="1" t="s">
        <v>313</v>
      </c>
      <c r="G203" s="16" t="s">
        <v>14</v>
      </c>
      <c r="H203" s="16" t="s">
        <v>17</v>
      </c>
      <c r="I203" s="16" t="s">
        <v>14</v>
      </c>
      <c r="J203" s="16" t="s">
        <v>15</v>
      </c>
      <c r="K203" s="16" t="s">
        <v>17</v>
      </c>
      <c r="L203" s="16" t="s">
        <v>16</v>
      </c>
      <c r="M203" s="16" t="s">
        <v>16</v>
      </c>
      <c r="N203" s="16" t="s">
        <v>17</v>
      </c>
      <c r="O203" s="15" cm="1">
        <f t="array" ref="O203">SUMPRODUCT(_xlfn.XLOOKUP(G203:N203, $X$2:$X$6, $Y$2:$Y$6,0), $G$4:$N$4) / SUM($G$4:$N$4)</f>
        <v>3</v>
      </c>
      <c r="P203" s="1" t="s">
        <v>17</v>
      </c>
      <c r="Q203" s="1" t="s">
        <v>17</v>
      </c>
      <c r="R203" s="1" t="s">
        <v>15</v>
      </c>
      <c r="S203" s="1" t="s">
        <v>17</v>
      </c>
      <c r="T203" s="1" t="s">
        <v>15</v>
      </c>
      <c r="U203" s="15" cm="1">
        <f t="array" ref="U203">SUMPRODUCT(_xlfn.XLOOKUP(P203:T203, $X$2:$X$6, $Y$2:$Y$6, 0), $P$4:$T$4) / SUM($P$4:$T$4)</f>
        <v>2.6</v>
      </c>
    </row>
    <row r="204" spans="1:21">
      <c r="A204" s="1">
        <v>2200083524</v>
      </c>
      <c r="B204" s="1" t="s">
        <v>480</v>
      </c>
      <c r="C204" s="1" t="s">
        <v>481</v>
      </c>
      <c r="D204" s="15" cm="1">
        <f t="array" ref="D204">(SUMPRODUCT(_xlfn.XLOOKUP(TRIM(G204:N204), $X$2:$X$6, $Y$2:$Y$6, 0), $G$4:$N$4) + SUMPRODUCT(_xlfn.XLOOKUP(TRIM(P204:T204), $X$2:$X$6, $Y$2:$Y$6, 0), $P$4:$T$4)) / SUM($G$4:$N$4, $P$4:$T$4)</f>
        <v>3.1081081081081079</v>
      </c>
      <c r="E204" s="1" t="s">
        <v>313</v>
      </c>
      <c r="G204" s="16" t="s">
        <v>17</v>
      </c>
      <c r="H204" s="16" t="s">
        <v>15</v>
      </c>
      <c r="I204" s="16" t="s">
        <v>15</v>
      </c>
      <c r="J204" s="16" t="s">
        <v>14</v>
      </c>
      <c r="K204" s="16" t="s">
        <v>16</v>
      </c>
      <c r="L204" s="16" t="s">
        <v>17</v>
      </c>
      <c r="M204" s="16" t="s">
        <v>16</v>
      </c>
      <c r="N204" s="16" t="s">
        <v>16</v>
      </c>
      <c r="O204" s="15" cm="1">
        <f t="array" ref="O204">SUMPRODUCT(_xlfn.XLOOKUP(G204:N204, $X$2:$X$6, $Y$2:$Y$6,0), $G$4:$N$4) / SUM($G$4:$N$4)</f>
        <v>3.1818181818181817</v>
      </c>
      <c r="P204" s="1" t="s">
        <v>14</v>
      </c>
      <c r="Q204" s="1" t="s">
        <v>16</v>
      </c>
      <c r="R204" s="1" t="s">
        <v>16</v>
      </c>
      <c r="S204" s="1" t="s">
        <v>17</v>
      </c>
      <c r="T204" s="1" t="s">
        <v>15</v>
      </c>
      <c r="U204" s="15" cm="1">
        <f t="array" ref="U204">SUMPRODUCT(_xlfn.XLOOKUP(P204:T204, $X$2:$X$6, $Y$2:$Y$6, 0), $P$4:$T$4) / SUM($P$4:$T$4)</f>
        <v>3</v>
      </c>
    </row>
    <row r="205" spans="1:21">
      <c r="A205" s="1">
        <v>2101129324</v>
      </c>
      <c r="B205" s="1" t="s">
        <v>482</v>
      </c>
      <c r="C205" s="1" t="s">
        <v>483</v>
      </c>
      <c r="D205" s="15" cm="1">
        <f t="array" ref="D205">(SUMPRODUCT(_xlfn.XLOOKUP(TRIM(G205:N205), $X$2:$X$6, $Y$2:$Y$6, 0), $G$4:$N$4) + SUMPRODUCT(_xlfn.XLOOKUP(TRIM(P205:T205), $X$2:$X$6, $Y$2:$Y$6, 0), $P$4:$T$4)) / SUM($G$4:$N$4, $P$4:$T$4)</f>
        <v>2.7432432432432434</v>
      </c>
      <c r="E205" s="1" t="s">
        <v>313</v>
      </c>
      <c r="G205" s="16" t="s">
        <v>17</v>
      </c>
      <c r="H205" s="16" t="s">
        <v>17</v>
      </c>
      <c r="I205" s="16" t="s">
        <v>16</v>
      </c>
      <c r="J205" s="16" t="s">
        <v>16</v>
      </c>
      <c r="K205" s="16" t="s">
        <v>17</v>
      </c>
      <c r="L205" s="16" t="s">
        <v>17</v>
      </c>
      <c r="M205" s="16" t="s">
        <v>16</v>
      </c>
      <c r="N205" s="16" t="s">
        <v>15</v>
      </c>
      <c r="O205" s="15" cm="1">
        <f t="array" ref="O205">SUMPRODUCT(_xlfn.XLOOKUP(G205:N205, $X$2:$X$6, $Y$2:$Y$6,0), $G$4:$N$4) / SUM($G$4:$N$4)</f>
        <v>2.5909090909090908</v>
      </c>
      <c r="P205" s="1" t="s">
        <v>15</v>
      </c>
      <c r="Q205" s="1" t="s">
        <v>17</v>
      </c>
      <c r="R205" s="1" t="s">
        <v>15</v>
      </c>
      <c r="S205" s="1" t="s">
        <v>17</v>
      </c>
      <c r="T205" s="1" t="s">
        <v>14</v>
      </c>
      <c r="U205" s="15" cm="1">
        <f t="array" ref="U205">SUMPRODUCT(_xlfn.XLOOKUP(P205:T205, $X$2:$X$6, $Y$2:$Y$6, 0), $P$4:$T$4) / SUM($P$4:$T$4)</f>
        <v>2.9666666666666668</v>
      </c>
    </row>
    <row r="206" spans="1:21">
      <c r="A206" s="1">
        <v>1100419424</v>
      </c>
      <c r="B206" s="1" t="s">
        <v>484</v>
      </c>
      <c r="C206" s="1" t="s">
        <v>485</v>
      </c>
      <c r="D206" s="15" cm="1">
        <f t="array" ref="D206">(SUMPRODUCT(_xlfn.XLOOKUP(TRIM(G206:N206), $X$2:$X$6, $Y$2:$Y$6, 0), $G$4:$N$4) + SUMPRODUCT(_xlfn.XLOOKUP(TRIM(P206:T206), $X$2:$X$6, $Y$2:$Y$6, 0), $P$4:$T$4)) / SUM($G$4:$N$4, $P$4:$T$4)</f>
        <v>2.7297297297297298</v>
      </c>
      <c r="E206" s="1" t="s">
        <v>313</v>
      </c>
      <c r="G206" s="16" t="s">
        <v>16</v>
      </c>
      <c r="H206" s="16" t="s">
        <v>17</v>
      </c>
      <c r="I206" s="16" t="s">
        <v>17</v>
      </c>
      <c r="J206" s="16" t="s">
        <v>17</v>
      </c>
      <c r="K206" s="16" t="s">
        <v>15</v>
      </c>
      <c r="L206" s="16" t="s">
        <v>17</v>
      </c>
      <c r="M206" s="16" t="s">
        <v>14</v>
      </c>
      <c r="N206" s="16" t="s">
        <v>15</v>
      </c>
      <c r="O206" s="15" cm="1">
        <f t="array" ref="O206">SUMPRODUCT(_xlfn.XLOOKUP(G206:N206, $X$2:$X$6, $Y$2:$Y$6,0), $G$4:$N$4) / SUM($G$4:$N$4)</f>
        <v>2.5454545454545454</v>
      </c>
      <c r="P206" s="1" t="s">
        <v>16</v>
      </c>
      <c r="Q206" s="1" t="s">
        <v>14</v>
      </c>
      <c r="R206" s="1" t="s">
        <v>17</v>
      </c>
      <c r="S206" s="1" t="s">
        <v>14</v>
      </c>
      <c r="T206" s="1" t="s">
        <v>17</v>
      </c>
      <c r="U206" s="15" cm="1">
        <f t="array" ref="U206">SUMPRODUCT(_xlfn.XLOOKUP(P206:T206, $X$2:$X$6, $Y$2:$Y$6, 0), $P$4:$T$4) / SUM($P$4:$T$4)</f>
        <v>3</v>
      </c>
    </row>
    <row r="207" spans="1:21">
      <c r="A207" s="1">
        <v>2100319724</v>
      </c>
      <c r="B207" s="1" t="s">
        <v>486</v>
      </c>
      <c r="C207" s="1" t="s">
        <v>487</v>
      </c>
      <c r="D207" s="15" cm="1">
        <f t="array" ref="D207">(SUMPRODUCT(_xlfn.XLOOKUP(TRIM(G207:N207), $X$2:$X$6, $Y$2:$Y$6, 0), $G$4:$N$4) + SUMPRODUCT(_xlfn.XLOOKUP(TRIM(P207:T207), $X$2:$X$6, $Y$2:$Y$6, 0), $P$4:$T$4)) / SUM($G$4:$N$4, $P$4:$T$4)</f>
        <v>2.9189189189189189</v>
      </c>
      <c r="E207" s="1" t="s">
        <v>313</v>
      </c>
      <c r="G207" s="16" t="s">
        <v>14</v>
      </c>
      <c r="H207" s="16" t="s">
        <v>15</v>
      </c>
      <c r="I207" s="16" t="s">
        <v>17</v>
      </c>
      <c r="J207" s="16" t="s">
        <v>15</v>
      </c>
      <c r="K207" s="16" t="s">
        <v>14</v>
      </c>
      <c r="L207" s="16" t="s">
        <v>17</v>
      </c>
      <c r="M207" s="16" t="s">
        <v>16</v>
      </c>
      <c r="N207" s="16" t="s">
        <v>16</v>
      </c>
      <c r="O207" s="15" cm="1">
        <f t="array" ref="O207">SUMPRODUCT(_xlfn.XLOOKUP(G207:N207, $X$2:$X$6, $Y$2:$Y$6,0), $G$4:$N$4) / SUM($G$4:$N$4)</f>
        <v>3.0909090909090908</v>
      </c>
      <c r="P207" s="1" t="s">
        <v>17</v>
      </c>
      <c r="Q207" s="1" t="s">
        <v>14</v>
      </c>
      <c r="R207" s="1" t="s">
        <v>16</v>
      </c>
      <c r="S207" s="1" t="s">
        <v>17</v>
      </c>
      <c r="T207" s="1" t="s">
        <v>16</v>
      </c>
      <c r="U207" s="15" cm="1">
        <f t="array" ref="U207">SUMPRODUCT(_xlfn.XLOOKUP(P207:T207, $X$2:$X$6, $Y$2:$Y$6, 0), $P$4:$T$4) / SUM($P$4:$T$4)</f>
        <v>2.6666666666666665</v>
      </c>
    </row>
    <row r="208" spans="1:21">
      <c r="A208" s="1">
        <v>1290022224</v>
      </c>
      <c r="B208" s="1" t="s">
        <v>488</v>
      </c>
      <c r="C208" s="1" t="s">
        <v>489</v>
      </c>
      <c r="D208" s="15" cm="1">
        <f t="array" ref="D208">(SUMPRODUCT(_xlfn.XLOOKUP(TRIM(G208:N208), $X$2:$X$6, $Y$2:$Y$6, 0), $G$4:$N$4) + SUMPRODUCT(_xlfn.XLOOKUP(TRIM(P208:T208), $X$2:$X$6, $Y$2:$Y$6, 0), $P$4:$T$4)) / SUM($G$4:$N$4, $P$4:$T$4)</f>
        <v>3.3243243243243241</v>
      </c>
      <c r="E208" s="1" t="s">
        <v>313</v>
      </c>
      <c r="G208" s="16" t="s">
        <v>17</v>
      </c>
      <c r="H208" s="16" t="s">
        <v>14</v>
      </c>
      <c r="I208" s="16" t="s">
        <v>14</v>
      </c>
      <c r="J208" s="16" t="s">
        <v>15</v>
      </c>
      <c r="K208" s="16" t="s">
        <v>16</v>
      </c>
      <c r="L208" s="16" t="s">
        <v>15</v>
      </c>
      <c r="M208" s="16" t="s">
        <v>14</v>
      </c>
      <c r="N208" s="16" t="s">
        <v>17</v>
      </c>
      <c r="O208" s="15" cm="1">
        <f t="array" ref="O208">SUMPRODUCT(_xlfn.XLOOKUP(G208:N208, $X$2:$X$6, $Y$2:$Y$6,0), $G$4:$N$4) / SUM($G$4:$N$4)</f>
        <v>3.4090909090909092</v>
      </c>
      <c r="P208" s="1" t="s">
        <v>14</v>
      </c>
      <c r="Q208" s="1" t="s">
        <v>14</v>
      </c>
      <c r="R208" s="1" t="s">
        <v>17</v>
      </c>
      <c r="S208" s="1" t="s">
        <v>15</v>
      </c>
      <c r="T208" s="1" t="s">
        <v>16</v>
      </c>
      <c r="U208" s="15" cm="1">
        <f t="array" ref="U208">SUMPRODUCT(_xlfn.XLOOKUP(P208:T208, $X$2:$X$6, $Y$2:$Y$6, 0), $P$4:$T$4) / SUM($P$4:$T$4)</f>
        <v>3.2</v>
      </c>
    </row>
    <row r="209" spans="1:21">
      <c r="A209" s="1">
        <v>2100864724</v>
      </c>
      <c r="B209" s="1" t="s">
        <v>490</v>
      </c>
      <c r="C209" s="1" t="s">
        <v>491</v>
      </c>
      <c r="D209" s="15" cm="1">
        <f t="array" ref="D209">(SUMPRODUCT(_xlfn.XLOOKUP(TRIM(G209:N209), $X$2:$X$6, $Y$2:$Y$6, 0), $G$4:$N$4) + SUMPRODUCT(_xlfn.XLOOKUP(TRIM(P209:T209), $X$2:$X$6, $Y$2:$Y$6, 0), $P$4:$T$4)) / SUM($G$4:$N$4, $P$4:$T$4)</f>
        <v>3.2567567567567566</v>
      </c>
      <c r="E209" s="1" t="s">
        <v>313</v>
      </c>
      <c r="G209" s="16" t="s">
        <v>14</v>
      </c>
      <c r="H209" s="16" t="s">
        <v>14</v>
      </c>
      <c r="I209" s="16" t="s">
        <v>16</v>
      </c>
      <c r="J209" s="16" t="s">
        <v>14</v>
      </c>
      <c r="K209" s="16" t="s">
        <v>16</v>
      </c>
      <c r="L209" s="16" t="s">
        <v>16</v>
      </c>
      <c r="M209" s="16" t="s">
        <v>16</v>
      </c>
      <c r="N209" s="16" t="s">
        <v>17</v>
      </c>
      <c r="O209" s="15" cm="1">
        <f t="array" ref="O209">SUMPRODUCT(_xlfn.XLOOKUP(G209:N209, $X$2:$X$6, $Y$2:$Y$6,0), $G$4:$N$4) / SUM($G$4:$N$4)</f>
        <v>3.3636363636363638</v>
      </c>
      <c r="P209" s="1" t="s">
        <v>15</v>
      </c>
      <c r="Q209" s="1" t="s">
        <v>15</v>
      </c>
      <c r="R209" s="1" t="s">
        <v>17</v>
      </c>
      <c r="S209" s="1" t="s">
        <v>15</v>
      </c>
      <c r="T209" s="1" t="s">
        <v>15</v>
      </c>
      <c r="U209" s="15" cm="1">
        <f t="array" ref="U209">SUMPRODUCT(_xlfn.XLOOKUP(P209:T209, $X$2:$X$6, $Y$2:$Y$6, 0), $P$4:$T$4) / SUM($P$4:$T$4)</f>
        <v>3.1</v>
      </c>
    </row>
    <row r="210" spans="1:21">
      <c r="A210" s="1">
        <v>1102730524</v>
      </c>
      <c r="B210" s="1" t="s">
        <v>492</v>
      </c>
      <c r="C210" s="1" t="s">
        <v>493</v>
      </c>
      <c r="D210" s="15" cm="1">
        <f t="array" ref="D210">(SUMPRODUCT(_xlfn.XLOOKUP(TRIM(G210:N210), $X$2:$X$6, $Y$2:$Y$6, 0), $G$4:$N$4) + SUMPRODUCT(_xlfn.XLOOKUP(TRIM(P210:T210), $X$2:$X$6, $Y$2:$Y$6, 0), $P$4:$T$4)) / SUM($G$4:$N$4, $P$4:$T$4)</f>
        <v>3.0270270270270272</v>
      </c>
      <c r="E210" s="1" t="s">
        <v>313</v>
      </c>
      <c r="G210" s="16" t="s">
        <v>15</v>
      </c>
      <c r="H210" s="16" t="s">
        <v>14</v>
      </c>
      <c r="I210" s="16" t="s">
        <v>17</v>
      </c>
      <c r="J210" s="16" t="s">
        <v>15</v>
      </c>
      <c r="K210" s="16" t="s">
        <v>17</v>
      </c>
      <c r="L210" s="16" t="s">
        <v>15</v>
      </c>
      <c r="M210" s="16" t="s">
        <v>15</v>
      </c>
      <c r="N210" s="16" t="s">
        <v>17</v>
      </c>
      <c r="O210" s="15" cm="1">
        <f t="array" ref="O210">SUMPRODUCT(_xlfn.XLOOKUP(G210:N210, $X$2:$X$6, $Y$2:$Y$6,0), $G$4:$N$4) / SUM($G$4:$N$4)</f>
        <v>3.0454545454545454</v>
      </c>
      <c r="P210" s="1" t="s">
        <v>16</v>
      </c>
      <c r="Q210" s="1" t="s">
        <v>17</v>
      </c>
      <c r="R210" s="1" t="s">
        <v>16</v>
      </c>
      <c r="S210" s="1" t="s">
        <v>14</v>
      </c>
      <c r="T210" s="1" t="s">
        <v>17</v>
      </c>
      <c r="U210" s="15" cm="1">
        <f t="array" ref="U210">SUMPRODUCT(_xlfn.XLOOKUP(P210:T210, $X$2:$X$6, $Y$2:$Y$6, 0), $P$4:$T$4) / SUM($P$4:$T$4)</f>
        <v>3</v>
      </c>
    </row>
    <row r="211" spans="1:21">
      <c r="A211" s="1">
        <v>1100437124</v>
      </c>
      <c r="B211" s="1" t="s">
        <v>494</v>
      </c>
      <c r="C211" s="1" t="s">
        <v>495</v>
      </c>
      <c r="D211" s="15" cm="1">
        <f t="array" ref="D211">(SUMPRODUCT(_xlfn.XLOOKUP(TRIM(G211:N211), $X$2:$X$6, $Y$2:$Y$6, 0), $G$4:$N$4) + SUMPRODUCT(_xlfn.XLOOKUP(TRIM(P211:T211), $X$2:$X$6, $Y$2:$Y$6, 0), $P$4:$T$4)) / SUM($G$4:$N$4, $P$4:$T$4)</f>
        <v>2.810810810810811</v>
      </c>
      <c r="E211" s="1" t="s">
        <v>313</v>
      </c>
      <c r="G211" s="16" t="s">
        <v>16</v>
      </c>
      <c r="H211" s="16" t="s">
        <v>15</v>
      </c>
      <c r="I211" s="16" t="s">
        <v>14</v>
      </c>
      <c r="J211" s="16" t="s">
        <v>17</v>
      </c>
      <c r="K211" s="16" t="s">
        <v>16</v>
      </c>
      <c r="L211" s="16" t="s">
        <v>16</v>
      </c>
      <c r="M211" s="16" t="s">
        <v>17</v>
      </c>
      <c r="N211" s="16" t="s">
        <v>16</v>
      </c>
      <c r="O211" s="15" cm="1">
        <f t="array" ref="O211">SUMPRODUCT(_xlfn.XLOOKUP(G211:N211, $X$2:$X$6, $Y$2:$Y$6,0), $G$4:$N$4) / SUM($G$4:$N$4)</f>
        <v>3</v>
      </c>
      <c r="P211" s="1" t="s">
        <v>17</v>
      </c>
      <c r="Q211" s="1" t="s">
        <v>16</v>
      </c>
      <c r="R211" s="1" t="s">
        <v>15</v>
      </c>
      <c r="S211" s="1" t="s">
        <v>17</v>
      </c>
      <c r="T211" s="1" t="s">
        <v>17</v>
      </c>
      <c r="U211" s="15" cm="1">
        <f t="array" ref="U211">SUMPRODUCT(_xlfn.XLOOKUP(P211:T211, $X$2:$X$6, $Y$2:$Y$6, 0), $P$4:$T$4) / SUM($P$4:$T$4)</f>
        <v>2.5333333333333332</v>
      </c>
    </row>
    <row r="212" spans="1:21">
      <c r="A212" s="1">
        <v>2101145024</v>
      </c>
      <c r="B212" s="1" t="s">
        <v>496</v>
      </c>
      <c r="C212" s="1" t="s">
        <v>497</v>
      </c>
      <c r="D212" s="15" cm="1">
        <f t="array" ref="D212">(SUMPRODUCT(_xlfn.XLOOKUP(TRIM(G212:N212), $X$2:$X$6, $Y$2:$Y$6, 0), $G$4:$N$4) + SUMPRODUCT(_xlfn.XLOOKUP(TRIM(P212:T212), $X$2:$X$6, $Y$2:$Y$6, 0), $P$4:$T$4)) / SUM($G$4:$N$4, $P$4:$T$4)</f>
        <v>3.0540540540540539</v>
      </c>
      <c r="E212" s="1" t="s">
        <v>313</v>
      </c>
      <c r="G212" s="16" t="s">
        <v>14</v>
      </c>
      <c r="H212" s="16" t="s">
        <v>15</v>
      </c>
      <c r="I212" s="16" t="s">
        <v>17</v>
      </c>
      <c r="J212" s="16" t="s">
        <v>16</v>
      </c>
      <c r="K212" s="16" t="s">
        <v>16</v>
      </c>
      <c r="L212" s="16" t="s">
        <v>16</v>
      </c>
      <c r="M212" s="16" t="s">
        <v>14</v>
      </c>
      <c r="N212" s="16" t="s">
        <v>17</v>
      </c>
      <c r="O212" s="15" cm="1">
        <f t="array" ref="O212">SUMPRODUCT(_xlfn.XLOOKUP(G212:N212, $X$2:$X$6, $Y$2:$Y$6,0), $G$4:$N$4) / SUM($G$4:$N$4)</f>
        <v>3</v>
      </c>
      <c r="P212" s="1" t="s">
        <v>16</v>
      </c>
      <c r="Q212" s="1" t="s">
        <v>14</v>
      </c>
      <c r="R212" s="1" t="s">
        <v>14</v>
      </c>
      <c r="S212" s="1" t="s">
        <v>17</v>
      </c>
      <c r="T212" s="1" t="s">
        <v>16</v>
      </c>
      <c r="U212" s="15" cm="1">
        <f t="array" ref="U212">SUMPRODUCT(_xlfn.XLOOKUP(P212:T212, $X$2:$X$6, $Y$2:$Y$6, 0), $P$4:$T$4) / SUM($P$4:$T$4)</f>
        <v>3.1333333333333333</v>
      </c>
    </row>
    <row r="213" spans="1:21">
      <c r="A213" s="1">
        <v>1102495824</v>
      </c>
      <c r="B213" s="1" t="s">
        <v>498</v>
      </c>
      <c r="C213" s="1" t="s">
        <v>499</v>
      </c>
      <c r="D213" s="15" cm="1">
        <f t="array" ref="D213">(SUMPRODUCT(_xlfn.XLOOKUP(TRIM(G213:N213), $X$2:$X$6, $Y$2:$Y$6, 0), $G$4:$N$4) + SUMPRODUCT(_xlfn.XLOOKUP(TRIM(P213:T213), $X$2:$X$6, $Y$2:$Y$6, 0), $P$4:$T$4)) / SUM($G$4:$N$4, $P$4:$T$4)</f>
        <v>3.3513513513513513</v>
      </c>
      <c r="E213" s="1" t="s">
        <v>313</v>
      </c>
      <c r="G213" s="16" t="s">
        <v>15</v>
      </c>
      <c r="H213" s="16" t="s">
        <v>16</v>
      </c>
      <c r="I213" s="16" t="s">
        <v>15</v>
      </c>
      <c r="J213" s="16" t="s">
        <v>15</v>
      </c>
      <c r="K213" s="16" t="s">
        <v>16</v>
      </c>
      <c r="L213" s="16" t="s">
        <v>15</v>
      </c>
      <c r="M213" s="16" t="s">
        <v>14</v>
      </c>
      <c r="N213" s="16" t="s">
        <v>14</v>
      </c>
      <c r="O213" s="15" cm="1">
        <f t="array" ref="O213">SUMPRODUCT(_xlfn.XLOOKUP(G213:N213, $X$2:$X$6, $Y$2:$Y$6,0), $G$4:$N$4) / SUM($G$4:$N$4)</f>
        <v>3.4545454545454546</v>
      </c>
      <c r="P213" s="1" t="s">
        <v>16</v>
      </c>
      <c r="Q213" s="1" t="s">
        <v>17</v>
      </c>
      <c r="R213" s="1" t="s">
        <v>14</v>
      </c>
      <c r="S213" s="1" t="s">
        <v>16</v>
      </c>
      <c r="T213" s="1" t="s">
        <v>15</v>
      </c>
      <c r="U213" s="15" cm="1">
        <f t="array" ref="U213">SUMPRODUCT(_xlfn.XLOOKUP(P213:T213, $X$2:$X$6, $Y$2:$Y$6, 0), $P$4:$T$4) / SUM($P$4:$T$4)</f>
        <v>3.2</v>
      </c>
    </row>
    <row r="214" spans="1:21">
      <c r="A214" s="1">
        <v>1101950224</v>
      </c>
      <c r="B214" s="1" t="s">
        <v>500</v>
      </c>
      <c r="C214" s="1" t="s">
        <v>501</v>
      </c>
      <c r="D214" s="15" cm="1">
        <f t="array" ref="D214">(SUMPRODUCT(_xlfn.XLOOKUP(TRIM(G214:N214), $X$2:$X$6, $Y$2:$Y$6, 0), $G$4:$N$4) + SUMPRODUCT(_xlfn.XLOOKUP(TRIM(P214:T214), $X$2:$X$6, $Y$2:$Y$6, 0), $P$4:$T$4)) / SUM($G$4:$N$4, $P$4:$T$4)</f>
        <v>2.9459459459459461</v>
      </c>
      <c r="E214" s="1" t="s">
        <v>313</v>
      </c>
      <c r="G214" s="16" t="s">
        <v>14</v>
      </c>
      <c r="H214" s="16" t="s">
        <v>16</v>
      </c>
      <c r="I214" s="16" t="s">
        <v>16</v>
      </c>
      <c r="J214" s="16" t="s">
        <v>17</v>
      </c>
      <c r="K214" s="16" t="s">
        <v>15</v>
      </c>
      <c r="L214" s="16" t="s">
        <v>15</v>
      </c>
      <c r="M214" s="16" t="s">
        <v>15</v>
      </c>
      <c r="N214" s="16" t="s">
        <v>16</v>
      </c>
      <c r="O214" s="15" cm="1">
        <f t="array" ref="O214">SUMPRODUCT(_xlfn.XLOOKUP(G214:N214, $X$2:$X$6, $Y$2:$Y$6,0), $G$4:$N$4) / SUM($G$4:$N$4)</f>
        <v>3.0454545454545454</v>
      </c>
      <c r="P214" s="1" t="s">
        <v>16</v>
      </c>
      <c r="Q214" s="1" t="s">
        <v>15</v>
      </c>
      <c r="R214" s="1" t="s">
        <v>16</v>
      </c>
      <c r="S214" s="1" t="s">
        <v>17</v>
      </c>
      <c r="T214" s="1" t="s">
        <v>16</v>
      </c>
      <c r="U214" s="15" cm="1">
        <f t="array" ref="U214">SUMPRODUCT(_xlfn.XLOOKUP(P214:T214, $X$2:$X$6, $Y$2:$Y$6, 0), $P$4:$T$4) / SUM($P$4:$T$4)</f>
        <v>2.8</v>
      </c>
    </row>
    <row r="215" spans="1:21">
      <c r="A215" s="1">
        <v>1102933624</v>
      </c>
      <c r="B215" s="1" t="s">
        <v>502</v>
      </c>
      <c r="C215" s="1" t="s">
        <v>503</v>
      </c>
      <c r="D215" s="15" cm="1">
        <f t="array" ref="D215">(SUMPRODUCT(_xlfn.XLOOKUP(TRIM(G215:N215), $X$2:$X$6, $Y$2:$Y$6, 0), $G$4:$N$4) + SUMPRODUCT(_xlfn.XLOOKUP(TRIM(P215:T215), $X$2:$X$6, $Y$2:$Y$6, 0), $P$4:$T$4)) / SUM($G$4:$N$4, $P$4:$T$4)</f>
        <v>3.2972972972972974</v>
      </c>
      <c r="E215" s="1" t="s">
        <v>313</v>
      </c>
      <c r="G215" s="16" t="s">
        <v>16</v>
      </c>
      <c r="H215" s="16" t="s">
        <v>14</v>
      </c>
      <c r="I215" s="16" t="s">
        <v>17</v>
      </c>
      <c r="J215" s="16" t="s">
        <v>14</v>
      </c>
      <c r="K215" s="16" t="s">
        <v>15</v>
      </c>
      <c r="L215" s="16" t="s">
        <v>15</v>
      </c>
      <c r="M215" s="16" t="s">
        <v>17</v>
      </c>
      <c r="N215" s="16" t="s">
        <v>16</v>
      </c>
      <c r="O215" s="15" cm="1">
        <f t="array" ref="O215">SUMPRODUCT(_xlfn.XLOOKUP(G215:N215, $X$2:$X$6, $Y$2:$Y$6,0), $G$4:$N$4) / SUM($G$4:$N$4)</f>
        <v>3.1818181818181817</v>
      </c>
      <c r="P215" s="1" t="s">
        <v>14</v>
      </c>
      <c r="Q215" s="1" t="s">
        <v>17</v>
      </c>
      <c r="R215" s="1" t="s">
        <v>14</v>
      </c>
      <c r="S215" s="1" t="s">
        <v>16</v>
      </c>
      <c r="T215" s="1" t="s">
        <v>14</v>
      </c>
      <c r="U215" s="15" cm="1">
        <f t="array" ref="U215">SUMPRODUCT(_xlfn.XLOOKUP(P215:T215, $X$2:$X$6, $Y$2:$Y$6, 0), $P$4:$T$4) / SUM($P$4:$T$4)</f>
        <v>3.4666666666666668</v>
      </c>
    </row>
    <row r="216" spans="1:21">
      <c r="A216" s="1">
        <v>2101106524</v>
      </c>
      <c r="B216" s="1" t="s">
        <v>504</v>
      </c>
      <c r="C216" s="1" t="s">
        <v>505</v>
      </c>
      <c r="D216" s="15" cm="1">
        <f t="array" ref="D216">(SUMPRODUCT(_xlfn.XLOOKUP(TRIM(G216:N216), $X$2:$X$6, $Y$2:$Y$6, 0), $G$4:$N$4) + SUMPRODUCT(_xlfn.XLOOKUP(TRIM(P216:T216), $X$2:$X$6, $Y$2:$Y$6, 0), $P$4:$T$4)) / SUM($G$4:$N$4, $P$4:$T$4)</f>
        <v>3.0540540540540539</v>
      </c>
      <c r="E216" s="1" t="s">
        <v>313</v>
      </c>
      <c r="G216" s="16" t="s">
        <v>17</v>
      </c>
      <c r="H216" s="16" t="s">
        <v>16</v>
      </c>
      <c r="I216" s="16" t="s">
        <v>16</v>
      </c>
      <c r="J216" s="16" t="s">
        <v>17</v>
      </c>
      <c r="K216" s="16" t="s">
        <v>16</v>
      </c>
      <c r="L216" s="16" t="s">
        <v>14</v>
      </c>
      <c r="M216" s="16" t="s">
        <v>15</v>
      </c>
      <c r="N216" s="16" t="s">
        <v>17</v>
      </c>
      <c r="O216" s="15" cm="1">
        <f t="array" ref="O216">SUMPRODUCT(_xlfn.XLOOKUP(G216:N216, $X$2:$X$6, $Y$2:$Y$6,0), $G$4:$N$4) / SUM($G$4:$N$4)</f>
        <v>2.7727272727272729</v>
      </c>
      <c r="P216" s="1" t="s">
        <v>14</v>
      </c>
      <c r="Q216" s="1" t="s">
        <v>16</v>
      </c>
      <c r="R216" s="1" t="s">
        <v>15</v>
      </c>
      <c r="S216" s="1" t="s">
        <v>14</v>
      </c>
      <c r="T216" s="1" t="s">
        <v>17</v>
      </c>
      <c r="U216" s="15" cm="1">
        <f t="array" ref="U216">SUMPRODUCT(_xlfn.XLOOKUP(P216:T216, $X$2:$X$6, $Y$2:$Y$6, 0), $P$4:$T$4) / SUM($P$4:$T$4)</f>
        <v>3.4666666666666668</v>
      </c>
    </row>
    <row r="217" spans="1:21">
      <c r="A217" s="1">
        <v>2100320524</v>
      </c>
      <c r="B217" s="1" t="s">
        <v>506</v>
      </c>
      <c r="C217" s="1" t="s">
        <v>507</v>
      </c>
      <c r="D217" s="15" cm="1">
        <f t="array" ref="D217">(SUMPRODUCT(_xlfn.XLOOKUP(TRIM(G217:N217), $X$2:$X$6, $Y$2:$Y$6, 0), $G$4:$N$4) + SUMPRODUCT(_xlfn.XLOOKUP(TRIM(P217:T217), $X$2:$X$6, $Y$2:$Y$6, 0), $P$4:$T$4)) / SUM($G$4:$N$4, $P$4:$T$4)</f>
        <v>3.2972972972972974</v>
      </c>
      <c r="E217" s="1" t="s">
        <v>313</v>
      </c>
      <c r="G217" s="16" t="s">
        <v>16</v>
      </c>
      <c r="H217" s="16" t="s">
        <v>17</v>
      </c>
      <c r="I217" s="16" t="s">
        <v>14</v>
      </c>
      <c r="J217" s="16" t="s">
        <v>15</v>
      </c>
      <c r="K217" s="16" t="s">
        <v>14</v>
      </c>
      <c r="L217" s="16" t="s">
        <v>14</v>
      </c>
      <c r="M217" s="16" t="s">
        <v>16</v>
      </c>
      <c r="N217" s="16" t="s">
        <v>17</v>
      </c>
      <c r="O217" s="15" cm="1">
        <f t="array" ref="O217">SUMPRODUCT(_xlfn.XLOOKUP(G217:N217, $X$2:$X$6, $Y$2:$Y$6,0), $G$4:$N$4) / SUM($G$4:$N$4)</f>
        <v>3.1818181818181817</v>
      </c>
      <c r="P217" s="1" t="s">
        <v>14</v>
      </c>
      <c r="Q217" s="1" t="s">
        <v>14</v>
      </c>
      <c r="R217" s="1" t="s">
        <v>15</v>
      </c>
      <c r="S217" s="1" t="s">
        <v>15</v>
      </c>
      <c r="T217" s="1" t="s">
        <v>17</v>
      </c>
      <c r="U217" s="15" cm="1">
        <f t="array" ref="U217">SUMPRODUCT(_xlfn.XLOOKUP(P217:T217, $X$2:$X$6, $Y$2:$Y$6, 0), $P$4:$T$4) / SUM($P$4:$T$4)</f>
        <v>3.4666666666666668</v>
      </c>
    </row>
    <row r="218" spans="1:21">
      <c r="A218" s="1">
        <v>2100727924</v>
      </c>
      <c r="B218" s="1" t="s">
        <v>508</v>
      </c>
      <c r="C218" s="1" t="s">
        <v>509</v>
      </c>
      <c r="D218" s="15" cm="1">
        <f t="array" ref="D218">(SUMPRODUCT(_xlfn.XLOOKUP(TRIM(G218:N218), $X$2:$X$6, $Y$2:$Y$6, 0), $G$4:$N$4) + SUMPRODUCT(_xlfn.XLOOKUP(TRIM(P218:T218), $X$2:$X$6, $Y$2:$Y$6, 0), $P$4:$T$4)) / SUM($G$4:$N$4, $P$4:$T$4)</f>
        <v>2.8378378378378377</v>
      </c>
      <c r="E218" s="1" t="s">
        <v>313</v>
      </c>
      <c r="G218" s="16" t="s">
        <v>17</v>
      </c>
      <c r="H218" s="16" t="s">
        <v>16</v>
      </c>
      <c r="I218" s="16" t="s">
        <v>17</v>
      </c>
      <c r="J218" s="16" t="s">
        <v>15</v>
      </c>
      <c r="K218" s="16" t="s">
        <v>17</v>
      </c>
      <c r="L218" s="16" t="s">
        <v>14</v>
      </c>
      <c r="M218" s="16" t="s">
        <v>17</v>
      </c>
      <c r="N218" s="16" t="s">
        <v>17</v>
      </c>
      <c r="O218" s="15" cm="1">
        <f t="array" ref="O218">SUMPRODUCT(_xlfn.XLOOKUP(G218:N218, $X$2:$X$6, $Y$2:$Y$6,0), $G$4:$N$4) / SUM($G$4:$N$4)</f>
        <v>2.6363636363636362</v>
      </c>
      <c r="P218" s="1" t="s">
        <v>16</v>
      </c>
      <c r="Q218" s="1" t="s">
        <v>14</v>
      </c>
      <c r="R218" s="1" t="s">
        <v>16</v>
      </c>
      <c r="S218" s="1" t="s">
        <v>15</v>
      </c>
      <c r="T218" s="1" t="s">
        <v>17</v>
      </c>
      <c r="U218" s="15" cm="1">
        <f t="array" ref="U218">SUMPRODUCT(_xlfn.XLOOKUP(P218:T218, $X$2:$X$6, $Y$2:$Y$6, 0), $P$4:$T$4) / SUM($P$4:$T$4)</f>
        <v>3.1333333333333333</v>
      </c>
    </row>
    <row r="219" spans="1:21">
      <c r="A219" s="1">
        <v>2100513224</v>
      </c>
      <c r="B219" s="1" t="s">
        <v>510</v>
      </c>
      <c r="C219" s="1" t="s">
        <v>511</v>
      </c>
      <c r="D219" s="15" cm="1">
        <f t="array" ref="D219">(SUMPRODUCT(_xlfn.XLOOKUP(TRIM(G219:N219), $X$2:$X$6, $Y$2:$Y$6, 0), $G$4:$N$4) + SUMPRODUCT(_xlfn.XLOOKUP(TRIM(P219:T219), $X$2:$X$6, $Y$2:$Y$6, 0), $P$4:$T$4)) / SUM($G$4:$N$4, $P$4:$T$4)</f>
        <v>3.189189189189189</v>
      </c>
      <c r="E219" s="1" t="s">
        <v>313</v>
      </c>
      <c r="G219" s="16" t="s">
        <v>17</v>
      </c>
      <c r="H219" s="16" t="s">
        <v>15</v>
      </c>
      <c r="I219" s="16" t="s">
        <v>16</v>
      </c>
      <c r="J219" s="16" t="s">
        <v>14</v>
      </c>
      <c r="K219" s="16" t="s">
        <v>16</v>
      </c>
      <c r="L219" s="16" t="s">
        <v>16</v>
      </c>
      <c r="M219" s="16" t="s">
        <v>14</v>
      </c>
      <c r="N219" s="16" t="s">
        <v>17</v>
      </c>
      <c r="O219" s="15" cm="1">
        <f t="array" ref="O219">SUMPRODUCT(_xlfn.XLOOKUP(G219:N219, $X$2:$X$6, $Y$2:$Y$6,0), $G$4:$N$4) / SUM($G$4:$N$4)</f>
        <v>3.1818181818181817</v>
      </c>
      <c r="P219" s="1" t="s">
        <v>16</v>
      </c>
      <c r="Q219" s="1" t="s">
        <v>15</v>
      </c>
      <c r="R219" s="1" t="s">
        <v>14</v>
      </c>
      <c r="S219" s="1" t="s">
        <v>17</v>
      </c>
      <c r="T219" s="1" t="s">
        <v>14</v>
      </c>
      <c r="U219" s="15" cm="1">
        <f t="array" ref="U219">SUMPRODUCT(_xlfn.XLOOKUP(P219:T219, $X$2:$X$6, $Y$2:$Y$6, 0), $P$4:$T$4) / SUM($P$4:$T$4)</f>
        <v>3.2</v>
      </c>
    </row>
    <row r="220" spans="1:21">
      <c r="A220" s="1">
        <v>2100620824</v>
      </c>
      <c r="B220" s="1" t="s">
        <v>512</v>
      </c>
      <c r="C220" s="1" t="s">
        <v>513</v>
      </c>
      <c r="D220" s="15" cm="1">
        <f t="array" ref="D220">(SUMPRODUCT(_xlfn.XLOOKUP(TRIM(G220:N220), $X$2:$X$6, $Y$2:$Y$6, 0), $G$4:$N$4) + SUMPRODUCT(_xlfn.XLOOKUP(TRIM(P220:T220), $X$2:$X$6, $Y$2:$Y$6, 0), $P$4:$T$4)) / SUM($G$4:$N$4, $P$4:$T$4)</f>
        <v>3.5270270270270272</v>
      </c>
      <c r="E220" s="1" t="s">
        <v>313</v>
      </c>
      <c r="G220" s="16" t="s">
        <v>15</v>
      </c>
      <c r="H220" s="16" t="s">
        <v>14</v>
      </c>
      <c r="I220" s="16" t="s">
        <v>14</v>
      </c>
      <c r="J220" s="16" t="s">
        <v>16</v>
      </c>
      <c r="K220" s="16" t="s">
        <v>15</v>
      </c>
      <c r="L220" s="16" t="s">
        <v>15</v>
      </c>
      <c r="M220" s="16" t="s">
        <v>15</v>
      </c>
      <c r="N220" s="16" t="s">
        <v>14</v>
      </c>
      <c r="O220" s="15" cm="1">
        <f t="array" ref="O220">SUMPRODUCT(_xlfn.XLOOKUP(G220:N220, $X$2:$X$6, $Y$2:$Y$6,0), $G$4:$N$4) / SUM($G$4:$N$4)</f>
        <v>3.6363636363636362</v>
      </c>
      <c r="P220" s="1" t="s">
        <v>15</v>
      </c>
      <c r="Q220" s="1" t="s">
        <v>15</v>
      </c>
      <c r="R220" s="1" t="s">
        <v>15</v>
      </c>
      <c r="S220" s="1" t="s">
        <v>16</v>
      </c>
      <c r="T220" s="1" t="s">
        <v>15</v>
      </c>
      <c r="U220" s="15" cm="1">
        <f t="array" ref="U220">SUMPRODUCT(_xlfn.XLOOKUP(P220:T220, $X$2:$X$6, $Y$2:$Y$6, 0), $P$4:$T$4) / SUM($P$4:$T$4)</f>
        <v>3.3666666666666667</v>
      </c>
    </row>
    <row r="221" spans="1:21">
      <c r="A221" s="1">
        <v>2100132324</v>
      </c>
      <c r="B221" s="1" t="s">
        <v>514</v>
      </c>
      <c r="C221" s="1" t="s">
        <v>515</v>
      </c>
      <c r="D221" s="15" cm="1">
        <f t="array" ref="D221">(SUMPRODUCT(_xlfn.XLOOKUP(TRIM(G221:N221), $X$2:$X$6, $Y$2:$Y$6, 0), $G$4:$N$4) + SUMPRODUCT(_xlfn.XLOOKUP(TRIM(P221:T221), $X$2:$X$6, $Y$2:$Y$6, 0), $P$4:$T$4)) / SUM($G$4:$N$4, $P$4:$T$4)</f>
        <v>3.4459459459459461</v>
      </c>
      <c r="E221" s="1" t="s">
        <v>313</v>
      </c>
      <c r="G221" s="16" t="s">
        <v>14</v>
      </c>
      <c r="H221" s="16" t="s">
        <v>16</v>
      </c>
      <c r="I221" s="16" t="s">
        <v>15</v>
      </c>
      <c r="J221" s="16" t="s">
        <v>15</v>
      </c>
      <c r="K221" s="16" t="s">
        <v>16</v>
      </c>
      <c r="L221" s="16" t="s">
        <v>15</v>
      </c>
      <c r="M221" s="16" t="s">
        <v>14</v>
      </c>
      <c r="N221" s="16" t="s">
        <v>14</v>
      </c>
      <c r="O221" s="15" cm="1">
        <f t="array" ref="O221">SUMPRODUCT(_xlfn.XLOOKUP(G221:N221, $X$2:$X$6, $Y$2:$Y$6,0), $G$4:$N$4) / SUM($G$4:$N$4)</f>
        <v>3.5</v>
      </c>
      <c r="P221" s="1" t="s">
        <v>15</v>
      </c>
      <c r="Q221" s="1" t="s">
        <v>14</v>
      </c>
      <c r="R221" s="1" t="s">
        <v>16</v>
      </c>
      <c r="S221" s="1" t="s">
        <v>15</v>
      </c>
      <c r="T221" s="1" t="s">
        <v>16</v>
      </c>
      <c r="U221" s="15" cm="1">
        <f t="array" ref="U221">SUMPRODUCT(_xlfn.XLOOKUP(P221:T221, $X$2:$X$6, $Y$2:$Y$6, 0), $P$4:$T$4) / SUM($P$4:$T$4)</f>
        <v>3.3666666666666667</v>
      </c>
    </row>
    <row r="222" spans="1:21">
      <c r="A222" s="1">
        <v>1105831624</v>
      </c>
      <c r="B222" s="1" t="s">
        <v>516</v>
      </c>
      <c r="C222" s="1" t="s">
        <v>517</v>
      </c>
      <c r="D222" s="15" cm="1">
        <f t="array" ref="D222">(SUMPRODUCT(_xlfn.XLOOKUP(TRIM(G222:N222), $X$2:$X$6, $Y$2:$Y$6, 0), $G$4:$N$4) + SUMPRODUCT(_xlfn.XLOOKUP(TRIM(P222:T222), $X$2:$X$6, $Y$2:$Y$6, 0), $P$4:$T$4)) / SUM($G$4:$N$4, $P$4:$T$4)</f>
        <v>3.2162162162162162</v>
      </c>
      <c r="E222" s="1" t="s">
        <v>313</v>
      </c>
      <c r="G222" s="16" t="s">
        <v>14</v>
      </c>
      <c r="H222" s="16" t="s">
        <v>15</v>
      </c>
      <c r="I222" s="16" t="s">
        <v>16</v>
      </c>
      <c r="J222" s="16" t="s">
        <v>14</v>
      </c>
      <c r="K222" s="16" t="s">
        <v>15</v>
      </c>
      <c r="L222" s="16" t="s">
        <v>17</v>
      </c>
      <c r="M222" s="16" t="s">
        <v>14</v>
      </c>
      <c r="N222" s="16" t="s">
        <v>14</v>
      </c>
      <c r="O222" s="15" cm="1">
        <f t="array" ref="O222">SUMPRODUCT(_xlfn.XLOOKUP(G222:N222, $X$2:$X$6, $Y$2:$Y$6,0), $G$4:$N$4) / SUM($G$4:$N$4)</f>
        <v>3.5</v>
      </c>
      <c r="P222" s="1" t="s">
        <v>17</v>
      </c>
      <c r="Q222" s="1" t="s">
        <v>17</v>
      </c>
      <c r="R222" s="1" t="s">
        <v>16</v>
      </c>
      <c r="S222" s="1" t="s">
        <v>14</v>
      </c>
      <c r="T222" s="1" t="s">
        <v>17</v>
      </c>
      <c r="U222" s="15" cm="1">
        <f t="array" ref="U222">SUMPRODUCT(_xlfn.XLOOKUP(P222:T222, $X$2:$X$6, $Y$2:$Y$6, 0), $P$4:$T$4) / SUM($P$4:$T$4)</f>
        <v>2.8</v>
      </c>
    </row>
    <row r="223" spans="1:21">
      <c r="A223" s="1">
        <v>1103841024</v>
      </c>
      <c r="B223" s="1" t="s">
        <v>518</v>
      </c>
      <c r="C223" s="1" t="s">
        <v>519</v>
      </c>
      <c r="D223" s="15" cm="1">
        <f t="array" ref="D223">(SUMPRODUCT(_xlfn.XLOOKUP(TRIM(G223:N223), $X$2:$X$6, $Y$2:$Y$6, 0), $G$4:$N$4) + SUMPRODUCT(_xlfn.XLOOKUP(TRIM(P223:T223), $X$2:$X$6, $Y$2:$Y$6, 0), $P$4:$T$4)) / SUM($G$4:$N$4, $P$4:$T$4)</f>
        <v>2.8378378378378377</v>
      </c>
      <c r="E223" s="1" t="s">
        <v>313</v>
      </c>
      <c r="G223" s="16" t="s">
        <v>15</v>
      </c>
      <c r="H223" s="16" t="s">
        <v>14</v>
      </c>
      <c r="I223" s="16" t="s">
        <v>16</v>
      </c>
      <c r="J223" s="16" t="s">
        <v>17</v>
      </c>
      <c r="K223" s="16" t="s">
        <v>14</v>
      </c>
      <c r="L223" s="16" t="s">
        <v>14</v>
      </c>
      <c r="M223" s="16" t="s">
        <v>17</v>
      </c>
      <c r="N223" s="16" t="s">
        <v>17</v>
      </c>
      <c r="O223" s="15" cm="1">
        <f t="array" ref="O223">SUMPRODUCT(_xlfn.XLOOKUP(G223:N223, $X$2:$X$6, $Y$2:$Y$6,0), $G$4:$N$4) / SUM($G$4:$N$4)</f>
        <v>3.0454545454545454</v>
      </c>
      <c r="P223" s="1" t="s">
        <v>17</v>
      </c>
      <c r="Q223" s="1" t="s">
        <v>14</v>
      </c>
      <c r="R223" s="1" t="s">
        <v>17</v>
      </c>
      <c r="S223" s="1" t="s">
        <v>17</v>
      </c>
      <c r="T223" s="1" t="s">
        <v>14</v>
      </c>
      <c r="U223" s="15" cm="1">
        <f t="array" ref="U223">SUMPRODUCT(_xlfn.XLOOKUP(P223:T223, $X$2:$X$6, $Y$2:$Y$6, 0), $P$4:$T$4) / SUM($P$4:$T$4)</f>
        <v>2.5333333333333332</v>
      </c>
    </row>
    <row r="224" spans="1:21">
      <c r="A224" s="1">
        <v>1104810424</v>
      </c>
      <c r="B224" s="1" t="s">
        <v>520</v>
      </c>
      <c r="C224" s="1" t="s">
        <v>521</v>
      </c>
      <c r="D224" s="15" cm="1">
        <f t="array" ref="D224">(SUMPRODUCT(_xlfn.XLOOKUP(TRIM(G224:N224), $X$2:$X$6, $Y$2:$Y$6, 0), $G$4:$N$4) + SUMPRODUCT(_xlfn.XLOOKUP(TRIM(P224:T224), $X$2:$X$6, $Y$2:$Y$6, 0), $P$4:$T$4)) / SUM($G$4:$N$4, $P$4:$T$4)</f>
        <v>3.189189189189189</v>
      </c>
      <c r="E224" s="1" t="s">
        <v>313</v>
      </c>
      <c r="G224" s="16" t="s">
        <v>14</v>
      </c>
      <c r="H224" s="16" t="s">
        <v>16</v>
      </c>
      <c r="I224" s="16" t="s">
        <v>15</v>
      </c>
      <c r="J224" s="16" t="s">
        <v>14</v>
      </c>
      <c r="K224" s="16" t="s">
        <v>15</v>
      </c>
      <c r="L224" s="16" t="s">
        <v>16</v>
      </c>
      <c r="M224" s="16" t="s">
        <v>16</v>
      </c>
      <c r="N224" s="16" t="s">
        <v>17</v>
      </c>
      <c r="O224" s="15" cm="1">
        <f t="array" ref="O224">SUMPRODUCT(_xlfn.XLOOKUP(G224:N224, $X$2:$X$6, $Y$2:$Y$6,0), $G$4:$N$4) / SUM($G$4:$N$4)</f>
        <v>3.3181818181818183</v>
      </c>
      <c r="P224" s="1" t="s">
        <v>16</v>
      </c>
      <c r="Q224" s="1" t="s">
        <v>17</v>
      </c>
      <c r="R224" s="1" t="s">
        <v>17</v>
      </c>
      <c r="S224" s="1" t="s">
        <v>14</v>
      </c>
      <c r="T224" s="1" t="s">
        <v>14</v>
      </c>
      <c r="U224" s="15" cm="1">
        <f t="array" ref="U224">SUMPRODUCT(_xlfn.XLOOKUP(P224:T224, $X$2:$X$6, $Y$2:$Y$6, 0), $P$4:$T$4) / SUM($P$4:$T$4)</f>
        <v>3</v>
      </c>
    </row>
    <row r="225" spans="1:21">
      <c r="A225" s="1">
        <v>1100611324</v>
      </c>
      <c r="B225" s="1" t="s">
        <v>522</v>
      </c>
      <c r="C225" s="1" t="s">
        <v>523</v>
      </c>
      <c r="D225" s="15" cm="1">
        <f t="array" ref="D225">(SUMPRODUCT(_xlfn.XLOOKUP(TRIM(G225:N225), $X$2:$X$6, $Y$2:$Y$6, 0), $G$4:$N$4) + SUMPRODUCT(_xlfn.XLOOKUP(TRIM(P225:T225), $X$2:$X$6, $Y$2:$Y$6, 0), $P$4:$T$4)) / SUM($G$4:$N$4, $P$4:$T$4)</f>
        <v>2.5675675675675675</v>
      </c>
      <c r="E225" s="1" t="s">
        <v>313</v>
      </c>
      <c r="G225" s="16" t="s">
        <v>15</v>
      </c>
      <c r="H225" s="16" t="s">
        <v>17</v>
      </c>
      <c r="I225" s="16" t="s">
        <v>17</v>
      </c>
      <c r="J225" s="16" t="s">
        <v>15</v>
      </c>
      <c r="K225" s="16" t="s">
        <v>17</v>
      </c>
      <c r="L225" s="16" t="s">
        <v>16</v>
      </c>
      <c r="M225" s="16" t="s">
        <v>17</v>
      </c>
      <c r="N225" s="16" t="s">
        <v>17</v>
      </c>
      <c r="O225" s="15" cm="1">
        <f t="array" ref="O225">SUMPRODUCT(_xlfn.XLOOKUP(G225:N225, $X$2:$X$6, $Y$2:$Y$6,0), $G$4:$N$4) / SUM($G$4:$N$4)</f>
        <v>2.5</v>
      </c>
      <c r="P225" s="1" t="s">
        <v>17</v>
      </c>
      <c r="Q225" s="1" t="s">
        <v>14</v>
      </c>
      <c r="R225" s="1" t="s">
        <v>16</v>
      </c>
      <c r="S225" s="1" t="s">
        <v>17</v>
      </c>
      <c r="T225" s="1" t="s">
        <v>16</v>
      </c>
      <c r="U225" s="15" cm="1">
        <f t="array" ref="U225">SUMPRODUCT(_xlfn.XLOOKUP(P225:T225, $X$2:$X$6, $Y$2:$Y$6, 0), $P$4:$T$4) / SUM($P$4:$T$4)</f>
        <v>2.6666666666666665</v>
      </c>
    </row>
    <row r="226" spans="1:21">
      <c r="A226" s="1">
        <v>1190027824</v>
      </c>
      <c r="B226" s="1" t="s">
        <v>524</v>
      </c>
      <c r="C226" s="1" t="s">
        <v>525</v>
      </c>
      <c r="D226" s="15" cm="1">
        <f t="array" ref="D226">(SUMPRODUCT(_xlfn.XLOOKUP(TRIM(G226:N226), $X$2:$X$6, $Y$2:$Y$6, 0), $G$4:$N$4) + SUMPRODUCT(_xlfn.XLOOKUP(TRIM(P226:T226), $X$2:$X$6, $Y$2:$Y$6, 0), $P$4:$T$4)) / SUM($G$4:$N$4, $P$4:$T$4)</f>
        <v>3.2432432432432434</v>
      </c>
      <c r="E226" s="1" t="s">
        <v>313</v>
      </c>
      <c r="G226" s="16" t="s">
        <v>16</v>
      </c>
      <c r="H226" s="16" t="s">
        <v>16</v>
      </c>
      <c r="I226" s="16" t="s">
        <v>15</v>
      </c>
      <c r="J226" s="16" t="s">
        <v>17</v>
      </c>
      <c r="K226" s="16" t="s">
        <v>14</v>
      </c>
      <c r="L226" s="16" t="s">
        <v>14</v>
      </c>
      <c r="M226" s="16" t="s">
        <v>14</v>
      </c>
      <c r="N226" s="16" t="s">
        <v>14</v>
      </c>
      <c r="O226" s="15" cm="1">
        <f t="array" ref="O226">SUMPRODUCT(_xlfn.XLOOKUP(G226:N226, $X$2:$X$6, $Y$2:$Y$6,0), $G$4:$N$4) / SUM($G$4:$N$4)</f>
        <v>3.2727272727272729</v>
      </c>
      <c r="P226" s="1" t="s">
        <v>17</v>
      </c>
      <c r="Q226" s="1" t="s">
        <v>14</v>
      </c>
      <c r="R226" s="1" t="s">
        <v>16</v>
      </c>
      <c r="S226" s="1" t="s">
        <v>15</v>
      </c>
      <c r="T226" s="1" t="s">
        <v>14</v>
      </c>
      <c r="U226" s="15" cm="1">
        <f t="array" ref="U226">SUMPRODUCT(_xlfn.XLOOKUP(P226:T226, $X$2:$X$6, $Y$2:$Y$6, 0), $P$4:$T$4) / SUM($P$4:$T$4)</f>
        <v>3.2</v>
      </c>
    </row>
    <row r="227" spans="1:21">
      <c r="A227" s="1">
        <v>1106148324</v>
      </c>
      <c r="B227" s="1" t="s">
        <v>526</v>
      </c>
      <c r="C227" s="1" t="s">
        <v>527</v>
      </c>
      <c r="D227" s="15" cm="1">
        <f t="array" ref="D227">(SUMPRODUCT(_xlfn.XLOOKUP(TRIM(G227:N227), $X$2:$X$6, $Y$2:$Y$6, 0), $G$4:$N$4) + SUMPRODUCT(_xlfn.XLOOKUP(TRIM(P227:T227), $X$2:$X$6, $Y$2:$Y$6, 0), $P$4:$T$4)) / SUM($G$4:$N$4, $P$4:$T$4)</f>
        <v>3.1081081081081079</v>
      </c>
      <c r="E227" s="1" t="s">
        <v>313</v>
      </c>
      <c r="G227" s="16" t="s">
        <v>16</v>
      </c>
      <c r="H227" s="16" t="s">
        <v>14</v>
      </c>
      <c r="I227" s="16" t="s">
        <v>17</v>
      </c>
      <c r="J227" s="16" t="s">
        <v>16</v>
      </c>
      <c r="K227" s="16" t="s">
        <v>17</v>
      </c>
      <c r="L227" s="16" t="s">
        <v>14</v>
      </c>
      <c r="M227" s="16" t="s">
        <v>16</v>
      </c>
      <c r="N227" s="16" t="s">
        <v>16</v>
      </c>
      <c r="O227" s="15" cm="1">
        <f t="array" ref="O227">SUMPRODUCT(_xlfn.XLOOKUP(G227:N227, $X$2:$X$6, $Y$2:$Y$6,0), $G$4:$N$4) / SUM($G$4:$N$4)</f>
        <v>3</v>
      </c>
      <c r="P227" s="1" t="s">
        <v>16</v>
      </c>
      <c r="Q227" s="1" t="s">
        <v>14</v>
      </c>
      <c r="R227" s="1" t="s">
        <v>15</v>
      </c>
      <c r="S227" s="1" t="s">
        <v>15</v>
      </c>
      <c r="T227" s="1" t="s">
        <v>17</v>
      </c>
      <c r="U227" s="15" cm="1">
        <f t="array" ref="U227">SUMPRODUCT(_xlfn.XLOOKUP(P227:T227, $X$2:$X$6, $Y$2:$Y$6, 0), $P$4:$T$4) / SUM($P$4:$T$4)</f>
        <v>3.2666666666666666</v>
      </c>
    </row>
    <row r="228" spans="1:21">
      <c r="A228" s="1">
        <v>2101037724</v>
      </c>
      <c r="B228" s="1" t="s">
        <v>528</v>
      </c>
      <c r="C228" s="1" t="s">
        <v>529</v>
      </c>
      <c r="D228" s="15" cm="1">
        <f t="array" ref="D228">(SUMPRODUCT(_xlfn.XLOOKUP(TRIM(G228:N228), $X$2:$X$6, $Y$2:$Y$6, 0), $G$4:$N$4) + SUMPRODUCT(_xlfn.XLOOKUP(TRIM(P228:T228), $X$2:$X$6, $Y$2:$Y$6, 0), $P$4:$T$4)) / SUM($G$4:$N$4, $P$4:$T$4)</f>
        <v>3.4054054054054053</v>
      </c>
      <c r="E228" s="1" t="s">
        <v>313</v>
      </c>
      <c r="G228" s="16" t="s">
        <v>15</v>
      </c>
      <c r="H228" s="16" t="s">
        <v>14</v>
      </c>
      <c r="I228" s="16" t="s">
        <v>16</v>
      </c>
      <c r="J228" s="16" t="s">
        <v>16</v>
      </c>
      <c r="K228" s="16" t="s">
        <v>14</v>
      </c>
      <c r="L228" s="16" t="s">
        <v>16</v>
      </c>
      <c r="M228" s="16" t="s">
        <v>15</v>
      </c>
      <c r="N228" s="16" t="s">
        <v>17</v>
      </c>
      <c r="O228" s="15" cm="1">
        <f t="array" ref="O228">SUMPRODUCT(_xlfn.XLOOKUP(G228:N228, $X$2:$X$6, $Y$2:$Y$6,0), $G$4:$N$4) / SUM($G$4:$N$4)</f>
        <v>3.2727272727272729</v>
      </c>
      <c r="P228" s="1" t="s">
        <v>14</v>
      </c>
      <c r="Q228" s="1" t="s">
        <v>16</v>
      </c>
      <c r="R228" s="1" t="s">
        <v>14</v>
      </c>
      <c r="S228" s="1" t="s">
        <v>15</v>
      </c>
      <c r="T228" s="1" t="s">
        <v>16</v>
      </c>
      <c r="U228" s="15" cm="1">
        <f t="array" ref="U228">SUMPRODUCT(_xlfn.XLOOKUP(P228:T228, $X$2:$X$6, $Y$2:$Y$6, 0), $P$4:$T$4) / SUM($P$4:$T$4)</f>
        <v>3.6</v>
      </c>
    </row>
    <row r="229" spans="1:21">
      <c r="A229" s="1">
        <v>1105548224</v>
      </c>
      <c r="B229" s="1" t="s">
        <v>530</v>
      </c>
      <c r="C229" s="1" t="s">
        <v>531</v>
      </c>
      <c r="D229" s="15" cm="1">
        <f t="array" ref="D229">(SUMPRODUCT(_xlfn.XLOOKUP(TRIM(G229:N229), $X$2:$X$6, $Y$2:$Y$6, 0), $G$4:$N$4) + SUMPRODUCT(_xlfn.XLOOKUP(TRIM(P229:T229), $X$2:$X$6, $Y$2:$Y$6, 0), $P$4:$T$4)) / SUM($G$4:$N$4, $P$4:$T$4)</f>
        <v>3.3648648648648649</v>
      </c>
      <c r="E229" s="1" t="s">
        <v>313</v>
      </c>
      <c r="G229" s="16" t="s">
        <v>16</v>
      </c>
      <c r="H229" s="16" t="s">
        <v>16</v>
      </c>
      <c r="I229" s="16" t="s">
        <v>16</v>
      </c>
      <c r="J229" s="16" t="s">
        <v>14</v>
      </c>
      <c r="K229" s="16" t="s">
        <v>15</v>
      </c>
      <c r="L229" s="16" t="s">
        <v>15</v>
      </c>
      <c r="M229" s="16" t="s">
        <v>17</v>
      </c>
      <c r="N229" s="16" t="s">
        <v>14</v>
      </c>
      <c r="O229" s="15" cm="1">
        <f t="array" ref="O229">SUMPRODUCT(_xlfn.XLOOKUP(G229:N229, $X$2:$X$6, $Y$2:$Y$6,0), $G$4:$N$4) / SUM($G$4:$N$4)</f>
        <v>3.2727272727272729</v>
      </c>
      <c r="P229" s="1" t="s">
        <v>15</v>
      </c>
      <c r="Q229" s="1" t="s">
        <v>14</v>
      </c>
      <c r="R229" s="1" t="s">
        <v>14</v>
      </c>
      <c r="S229" s="1" t="s">
        <v>15</v>
      </c>
      <c r="T229" s="1" t="s">
        <v>17</v>
      </c>
      <c r="U229" s="15" cm="1">
        <f t="array" ref="U229">SUMPRODUCT(_xlfn.XLOOKUP(P229:T229, $X$2:$X$6, $Y$2:$Y$6, 0), $P$4:$T$4) / SUM($P$4:$T$4)</f>
        <v>3.5</v>
      </c>
    </row>
    <row r="230" spans="1:21">
      <c r="A230" s="1">
        <v>1105346624</v>
      </c>
      <c r="B230" s="1" t="s">
        <v>532</v>
      </c>
      <c r="C230" s="1" t="s">
        <v>533</v>
      </c>
      <c r="D230" s="15" cm="1">
        <f t="array" ref="D230">(SUMPRODUCT(_xlfn.XLOOKUP(TRIM(G230:N230), $X$2:$X$6, $Y$2:$Y$6, 0), $G$4:$N$4) + SUMPRODUCT(_xlfn.XLOOKUP(TRIM(P230:T230), $X$2:$X$6, $Y$2:$Y$6, 0), $P$4:$T$4)) / SUM($G$4:$N$4, $P$4:$T$4)</f>
        <v>3.2702702702702702</v>
      </c>
      <c r="E230" s="1" t="s">
        <v>313</v>
      </c>
      <c r="G230" s="16" t="s">
        <v>17</v>
      </c>
      <c r="H230" s="16" t="s">
        <v>17</v>
      </c>
      <c r="I230" s="16" t="s">
        <v>16</v>
      </c>
      <c r="J230" s="16" t="s">
        <v>15</v>
      </c>
      <c r="K230" s="16" t="s">
        <v>16</v>
      </c>
      <c r="L230" s="16" t="s">
        <v>16</v>
      </c>
      <c r="M230" s="16" t="s">
        <v>16</v>
      </c>
      <c r="N230" s="16" t="s">
        <v>14</v>
      </c>
      <c r="O230" s="15" cm="1">
        <f t="array" ref="O230">SUMPRODUCT(_xlfn.XLOOKUP(G230:N230, $X$2:$X$6, $Y$2:$Y$6,0), $G$4:$N$4) / SUM($G$4:$N$4)</f>
        <v>2.9090909090909092</v>
      </c>
      <c r="P230" s="1" t="s">
        <v>14</v>
      </c>
      <c r="Q230" s="1" t="s">
        <v>15</v>
      </c>
      <c r="R230" s="1" t="s">
        <v>15</v>
      </c>
      <c r="S230" s="1" t="s">
        <v>14</v>
      </c>
      <c r="T230" s="1" t="s">
        <v>14</v>
      </c>
      <c r="U230" s="15" cm="1">
        <f t="array" ref="U230">SUMPRODUCT(_xlfn.XLOOKUP(P230:T230, $X$2:$X$6, $Y$2:$Y$6, 0), $P$4:$T$4) / SUM($P$4:$T$4)</f>
        <v>3.8</v>
      </c>
    </row>
    <row r="231" spans="1:21">
      <c r="A231" s="1">
        <v>1107280124</v>
      </c>
      <c r="B231" s="1" t="s">
        <v>534</v>
      </c>
      <c r="C231" s="1" t="s">
        <v>535</v>
      </c>
      <c r="D231" s="15" cm="1">
        <f t="array" ref="D231">(SUMPRODUCT(_xlfn.XLOOKUP(TRIM(G231:N231), $X$2:$X$6, $Y$2:$Y$6, 0), $G$4:$N$4) + SUMPRODUCT(_xlfn.XLOOKUP(TRIM(P231:T231), $X$2:$X$6, $Y$2:$Y$6, 0), $P$4:$T$4)) / SUM($G$4:$N$4, $P$4:$T$4)</f>
        <v>2.6756756756756759</v>
      </c>
      <c r="E231" s="1" t="s">
        <v>313</v>
      </c>
      <c r="G231" s="16" t="s">
        <v>16</v>
      </c>
      <c r="H231" s="16" t="s">
        <v>17</v>
      </c>
      <c r="I231" s="16" t="s">
        <v>17</v>
      </c>
      <c r="J231" s="16" t="s">
        <v>17</v>
      </c>
      <c r="K231" s="16" t="s">
        <v>17</v>
      </c>
      <c r="L231" s="16" t="s">
        <v>17</v>
      </c>
      <c r="M231" s="16" t="s">
        <v>16</v>
      </c>
      <c r="N231" s="16" t="s">
        <v>15</v>
      </c>
      <c r="O231" s="15" cm="1">
        <f t="array" ref="O231">SUMPRODUCT(_xlfn.XLOOKUP(G231:N231, $X$2:$X$6, $Y$2:$Y$6,0), $G$4:$N$4) / SUM($G$4:$N$4)</f>
        <v>2.3181818181818183</v>
      </c>
      <c r="P231" s="1" t="s">
        <v>14</v>
      </c>
      <c r="Q231" s="1" t="s">
        <v>16</v>
      </c>
      <c r="R231" s="1" t="s">
        <v>17</v>
      </c>
      <c r="S231" s="1" t="s">
        <v>14</v>
      </c>
      <c r="T231" s="1" t="s">
        <v>16</v>
      </c>
      <c r="U231" s="15" cm="1">
        <f t="array" ref="U231">SUMPRODUCT(_xlfn.XLOOKUP(P231:T231, $X$2:$X$6, $Y$2:$Y$6, 0), $P$4:$T$4) / SUM($P$4:$T$4)</f>
        <v>3.2</v>
      </c>
    </row>
    <row r="232" spans="1:21">
      <c r="A232" s="1">
        <v>1103554224</v>
      </c>
      <c r="B232" s="1" t="s">
        <v>536</v>
      </c>
      <c r="C232" s="1" t="s">
        <v>537</v>
      </c>
      <c r="D232" s="15" cm="1">
        <f t="array" ref="D232">(SUMPRODUCT(_xlfn.XLOOKUP(TRIM(G232:N232), $X$2:$X$6, $Y$2:$Y$6, 0), $G$4:$N$4) + SUMPRODUCT(_xlfn.XLOOKUP(TRIM(P232:T232), $X$2:$X$6, $Y$2:$Y$6, 0), $P$4:$T$4)) / SUM($G$4:$N$4, $P$4:$T$4)</f>
        <v>3.2702702702702702</v>
      </c>
      <c r="E232" s="1" t="s">
        <v>313</v>
      </c>
      <c r="G232" s="16" t="s">
        <v>17</v>
      </c>
      <c r="H232" s="16" t="s">
        <v>16</v>
      </c>
      <c r="I232" s="16" t="s">
        <v>14</v>
      </c>
      <c r="J232" s="16" t="s">
        <v>15</v>
      </c>
      <c r="K232" s="16" t="s">
        <v>17</v>
      </c>
      <c r="L232" s="16" t="s">
        <v>14</v>
      </c>
      <c r="M232" s="16" t="s">
        <v>14</v>
      </c>
      <c r="N232" s="16" t="s">
        <v>15</v>
      </c>
      <c r="O232" s="15" cm="1">
        <f t="array" ref="O232">SUMPRODUCT(_xlfn.XLOOKUP(G232:N232, $X$2:$X$6, $Y$2:$Y$6,0), $G$4:$N$4) / SUM($G$4:$N$4)</f>
        <v>3.3181818181818183</v>
      </c>
      <c r="P232" s="1" t="s">
        <v>16</v>
      </c>
      <c r="Q232" s="1" t="s">
        <v>15</v>
      </c>
      <c r="R232" s="1" t="s">
        <v>15</v>
      </c>
      <c r="S232" s="1" t="s">
        <v>16</v>
      </c>
      <c r="T232" s="1" t="s">
        <v>16</v>
      </c>
      <c r="U232" s="15" cm="1">
        <f t="array" ref="U232">SUMPRODUCT(_xlfn.XLOOKUP(P232:T232, $X$2:$X$6, $Y$2:$Y$6, 0), $P$4:$T$4) / SUM($P$4:$T$4)</f>
        <v>3.2</v>
      </c>
    </row>
    <row r="233" spans="1:21">
      <c r="A233" s="1">
        <v>2200081324</v>
      </c>
      <c r="B233" s="1" t="s">
        <v>538</v>
      </c>
      <c r="C233" s="1" t="s">
        <v>539</v>
      </c>
      <c r="D233" s="15" cm="1">
        <f t="array" ref="D233">(SUMPRODUCT(_xlfn.XLOOKUP(TRIM(G233:N233), $X$2:$X$6, $Y$2:$Y$6, 0), $G$4:$N$4) + SUMPRODUCT(_xlfn.XLOOKUP(TRIM(P233:T233), $X$2:$X$6, $Y$2:$Y$6, 0), $P$4:$T$4)) / SUM($G$4:$N$4, $P$4:$T$4)</f>
        <v>3.1486486486486487</v>
      </c>
      <c r="E233" s="1" t="s">
        <v>313</v>
      </c>
      <c r="G233" s="16" t="s">
        <v>16</v>
      </c>
      <c r="H233" s="16" t="s">
        <v>14</v>
      </c>
      <c r="I233" s="16" t="s">
        <v>14</v>
      </c>
      <c r="J233" s="16" t="s">
        <v>17</v>
      </c>
      <c r="K233" s="16" t="s">
        <v>17</v>
      </c>
      <c r="L233" s="16" t="s">
        <v>15</v>
      </c>
      <c r="M233" s="16" t="s">
        <v>15</v>
      </c>
      <c r="N233" s="16" t="s">
        <v>17</v>
      </c>
      <c r="O233" s="15" cm="1">
        <f t="array" ref="O233">SUMPRODUCT(_xlfn.XLOOKUP(G233:N233, $X$2:$X$6, $Y$2:$Y$6,0), $G$4:$N$4) / SUM($G$4:$N$4)</f>
        <v>3.0909090909090908</v>
      </c>
      <c r="P233" s="1" t="s">
        <v>15</v>
      </c>
      <c r="Q233" s="1" t="s">
        <v>16</v>
      </c>
      <c r="R233" s="1" t="s">
        <v>14</v>
      </c>
      <c r="S233" s="1" t="s">
        <v>17</v>
      </c>
      <c r="T233" s="1" t="s">
        <v>14</v>
      </c>
      <c r="U233" s="15" cm="1">
        <f t="array" ref="U233">SUMPRODUCT(_xlfn.XLOOKUP(P233:T233, $X$2:$X$6, $Y$2:$Y$6, 0), $P$4:$T$4) / SUM($P$4:$T$4)</f>
        <v>3.2333333333333334</v>
      </c>
    </row>
    <row r="234" spans="1:21">
      <c r="A234" s="1">
        <v>1107282224</v>
      </c>
      <c r="B234" s="1" t="s">
        <v>540</v>
      </c>
      <c r="C234" s="1" t="s">
        <v>541</v>
      </c>
      <c r="D234" s="15" cm="1">
        <f t="array" ref="D234">(SUMPRODUCT(_xlfn.XLOOKUP(TRIM(G234:N234), $X$2:$X$6, $Y$2:$Y$6, 0), $G$4:$N$4) + SUMPRODUCT(_xlfn.XLOOKUP(TRIM(P234:T234), $X$2:$X$6, $Y$2:$Y$6, 0), $P$4:$T$4)) / SUM($G$4:$N$4, $P$4:$T$4)</f>
        <v>2.9459459459459461</v>
      </c>
      <c r="E234" s="1" t="s">
        <v>313</v>
      </c>
      <c r="G234" s="16" t="s">
        <v>17</v>
      </c>
      <c r="H234" s="16" t="s">
        <v>14</v>
      </c>
      <c r="I234" s="16" t="s">
        <v>17</v>
      </c>
      <c r="J234" s="16" t="s">
        <v>14</v>
      </c>
      <c r="K234" s="16" t="s">
        <v>16</v>
      </c>
      <c r="L234" s="16" t="s">
        <v>17</v>
      </c>
      <c r="M234" s="16" t="s">
        <v>17</v>
      </c>
      <c r="N234" s="16" t="s">
        <v>17</v>
      </c>
      <c r="O234" s="15" cm="1">
        <f t="array" ref="O234">SUMPRODUCT(_xlfn.XLOOKUP(G234:N234, $X$2:$X$6, $Y$2:$Y$6,0), $G$4:$N$4) / SUM($G$4:$N$4)</f>
        <v>2.8181818181818183</v>
      </c>
      <c r="P234" s="1" t="s">
        <v>16</v>
      </c>
      <c r="Q234" s="1" t="s">
        <v>14</v>
      </c>
      <c r="R234" s="1" t="s">
        <v>17</v>
      </c>
      <c r="S234" s="1" t="s">
        <v>14</v>
      </c>
      <c r="T234" s="1" t="s">
        <v>16</v>
      </c>
      <c r="U234" s="15" cm="1">
        <f t="array" ref="U234">SUMPRODUCT(_xlfn.XLOOKUP(P234:T234, $X$2:$X$6, $Y$2:$Y$6, 0), $P$4:$T$4) / SUM($P$4:$T$4)</f>
        <v>3.1333333333333333</v>
      </c>
    </row>
    <row r="235" spans="1:21">
      <c r="A235" s="1">
        <v>1200115924</v>
      </c>
      <c r="B235" s="1" t="s">
        <v>542</v>
      </c>
      <c r="C235" s="1" t="s">
        <v>543</v>
      </c>
      <c r="D235" s="15" cm="1">
        <f t="array" ref="D235">(SUMPRODUCT(_xlfn.XLOOKUP(TRIM(G235:N235), $X$2:$X$6, $Y$2:$Y$6, 0), $G$4:$N$4) + SUMPRODUCT(_xlfn.XLOOKUP(TRIM(P235:T235), $X$2:$X$6, $Y$2:$Y$6, 0), $P$4:$T$4)) / SUM($G$4:$N$4, $P$4:$T$4)</f>
        <v>2.8648648648648649</v>
      </c>
      <c r="E235" s="1" t="s">
        <v>313</v>
      </c>
      <c r="G235" s="16" t="s">
        <v>15</v>
      </c>
      <c r="H235" s="16" t="s">
        <v>17</v>
      </c>
      <c r="I235" s="16" t="s">
        <v>16</v>
      </c>
      <c r="J235" s="16" t="s">
        <v>14</v>
      </c>
      <c r="K235" s="16" t="s">
        <v>17</v>
      </c>
      <c r="L235" s="16" t="s">
        <v>14</v>
      </c>
      <c r="M235" s="16" t="s">
        <v>15</v>
      </c>
      <c r="N235" s="16" t="s">
        <v>17</v>
      </c>
      <c r="O235" s="15" cm="1">
        <f t="array" ref="O235">SUMPRODUCT(_xlfn.XLOOKUP(G235:N235, $X$2:$X$6, $Y$2:$Y$6,0), $G$4:$N$4) / SUM($G$4:$N$4)</f>
        <v>3</v>
      </c>
      <c r="P235" s="1" t="s">
        <v>17</v>
      </c>
      <c r="Q235" s="1" t="s">
        <v>14</v>
      </c>
      <c r="R235" s="1" t="s">
        <v>17</v>
      </c>
      <c r="S235" s="1" t="s">
        <v>16</v>
      </c>
      <c r="T235" s="1" t="s">
        <v>16</v>
      </c>
      <c r="U235" s="15" cm="1">
        <f t="array" ref="U235">SUMPRODUCT(_xlfn.XLOOKUP(P235:T235, $X$2:$X$6, $Y$2:$Y$6, 0), $P$4:$T$4) / SUM($P$4:$T$4)</f>
        <v>2.6666666666666665</v>
      </c>
    </row>
    <row r="236" spans="1:21">
      <c r="A236" s="1">
        <v>1104045224</v>
      </c>
      <c r="B236" s="1" t="s">
        <v>544</v>
      </c>
      <c r="C236" s="1" t="s">
        <v>545</v>
      </c>
      <c r="D236" s="15" cm="1">
        <f t="array" ref="D236">(SUMPRODUCT(_xlfn.XLOOKUP(TRIM(G236:N236), $X$2:$X$6, $Y$2:$Y$6, 0), $G$4:$N$4) + SUMPRODUCT(_xlfn.XLOOKUP(TRIM(P236:T236), $X$2:$X$6, $Y$2:$Y$6, 0), $P$4:$T$4)) / SUM($G$4:$N$4, $P$4:$T$4)</f>
        <v>3.5</v>
      </c>
      <c r="E236" s="1" t="s">
        <v>313</v>
      </c>
      <c r="G236" s="16" t="s">
        <v>15</v>
      </c>
      <c r="H236" s="16" t="s">
        <v>16</v>
      </c>
      <c r="I236" s="16" t="s">
        <v>15</v>
      </c>
      <c r="J236" s="16" t="s">
        <v>14</v>
      </c>
      <c r="K236" s="16" t="s">
        <v>14</v>
      </c>
      <c r="L236" s="16" t="s">
        <v>15</v>
      </c>
      <c r="M236" s="16" t="s">
        <v>16</v>
      </c>
      <c r="N236" s="16" t="s">
        <v>16</v>
      </c>
      <c r="O236" s="15" cm="1">
        <f t="array" ref="O236">SUMPRODUCT(_xlfn.XLOOKUP(G236:N236, $X$2:$X$6, $Y$2:$Y$6,0), $G$4:$N$4) / SUM($G$4:$N$4)</f>
        <v>3.4545454545454546</v>
      </c>
      <c r="P236" s="1" t="s">
        <v>15</v>
      </c>
      <c r="Q236" s="1" t="s">
        <v>15</v>
      </c>
      <c r="R236" s="1" t="s">
        <v>14</v>
      </c>
      <c r="S236" s="1" t="s">
        <v>15</v>
      </c>
      <c r="T236" s="1" t="s">
        <v>16</v>
      </c>
      <c r="U236" s="15" cm="1">
        <f t="array" ref="U236">SUMPRODUCT(_xlfn.XLOOKUP(P236:T236, $X$2:$X$6, $Y$2:$Y$6, 0), $P$4:$T$4) / SUM($P$4:$T$4)</f>
        <v>3.5666666666666669</v>
      </c>
    </row>
    <row r="237" spans="1:21">
      <c r="A237" s="1">
        <v>1104657724</v>
      </c>
      <c r="B237" s="1" t="s">
        <v>546</v>
      </c>
      <c r="C237" s="1" t="s">
        <v>547</v>
      </c>
      <c r="D237" s="15" cm="1">
        <f t="array" ref="D237">(SUMPRODUCT(_xlfn.XLOOKUP(TRIM(G237:N237), $X$2:$X$6, $Y$2:$Y$6, 0), $G$4:$N$4) + SUMPRODUCT(_xlfn.XLOOKUP(TRIM(P237:T237), $X$2:$X$6, $Y$2:$Y$6, 0), $P$4:$T$4)) / SUM($G$4:$N$4, $P$4:$T$4)</f>
        <v>3.1081081081081079</v>
      </c>
      <c r="E237" s="1" t="s">
        <v>313</v>
      </c>
      <c r="G237" s="16" t="s">
        <v>15</v>
      </c>
      <c r="H237" s="16" t="s">
        <v>15</v>
      </c>
      <c r="I237" s="16" t="s">
        <v>15</v>
      </c>
      <c r="J237" s="16" t="s">
        <v>14</v>
      </c>
      <c r="K237" s="16" t="s">
        <v>15</v>
      </c>
      <c r="L237" s="16" t="s">
        <v>17</v>
      </c>
      <c r="M237" s="16" t="s">
        <v>17</v>
      </c>
      <c r="N237" s="16" t="s">
        <v>17</v>
      </c>
      <c r="O237" s="15" cm="1">
        <f t="array" ref="O237">SUMPRODUCT(_xlfn.XLOOKUP(G237:N237, $X$2:$X$6, $Y$2:$Y$6,0), $G$4:$N$4) / SUM($G$4:$N$4)</f>
        <v>3.1818181818181817</v>
      </c>
      <c r="P237" s="1" t="s">
        <v>16</v>
      </c>
      <c r="Q237" s="1" t="s">
        <v>16</v>
      </c>
      <c r="R237" s="1" t="s">
        <v>15</v>
      </c>
      <c r="S237" s="1" t="s">
        <v>17</v>
      </c>
      <c r="T237" s="1" t="s">
        <v>14</v>
      </c>
      <c r="U237" s="15" cm="1">
        <f t="array" ref="U237">SUMPRODUCT(_xlfn.XLOOKUP(P237:T237, $X$2:$X$6, $Y$2:$Y$6, 0), $P$4:$T$4) / SUM($P$4:$T$4)</f>
        <v>3</v>
      </c>
    </row>
    <row r="238" spans="1:21">
      <c r="A238" s="1">
        <v>1102745424</v>
      </c>
      <c r="B238" s="1" t="s">
        <v>548</v>
      </c>
      <c r="C238" s="1" t="s">
        <v>549</v>
      </c>
      <c r="D238" s="15" cm="1">
        <f t="array" ref="D238">(SUMPRODUCT(_xlfn.XLOOKUP(TRIM(G238:N238), $X$2:$X$6, $Y$2:$Y$6, 0), $G$4:$N$4) + SUMPRODUCT(_xlfn.XLOOKUP(TRIM(P238:T238), $X$2:$X$6, $Y$2:$Y$6, 0), $P$4:$T$4)) / SUM($G$4:$N$4, $P$4:$T$4)</f>
        <v>3.0270270270270272</v>
      </c>
      <c r="E238" s="1" t="s">
        <v>313</v>
      </c>
      <c r="G238" s="16" t="s">
        <v>17</v>
      </c>
      <c r="H238" s="16" t="s">
        <v>17</v>
      </c>
      <c r="I238" s="16" t="s">
        <v>16</v>
      </c>
      <c r="J238" s="16" t="s">
        <v>16</v>
      </c>
      <c r="K238" s="16" t="s">
        <v>14</v>
      </c>
      <c r="L238" s="16" t="s">
        <v>16</v>
      </c>
      <c r="M238" s="16" t="s">
        <v>14</v>
      </c>
      <c r="N238" s="16" t="s">
        <v>16</v>
      </c>
      <c r="O238" s="15" cm="1">
        <f t="array" ref="O238">SUMPRODUCT(_xlfn.XLOOKUP(G238:N238, $X$2:$X$6, $Y$2:$Y$6,0), $G$4:$N$4) / SUM($G$4:$N$4)</f>
        <v>2.9090909090909092</v>
      </c>
      <c r="P238" s="1" t="s">
        <v>17</v>
      </c>
      <c r="Q238" s="1" t="s">
        <v>17</v>
      </c>
      <c r="R238" s="1" t="s">
        <v>14</v>
      </c>
      <c r="S238" s="1" t="s">
        <v>14</v>
      </c>
      <c r="T238" s="1" t="s">
        <v>16</v>
      </c>
      <c r="U238" s="15" cm="1">
        <f t="array" ref="U238">SUMPRODUCT(_xlfn.XLOOKUP(P238:T238, $X$2:$X$6, $Y$2:$Y$6, 0), $P$4:$T$4) / SUM($P$4:$T$4)</f>
        <v>3.2</v>
      </c>
    </row>
    <row r="239" spans="1:21">
      <c r="A239" s="1">
        <v>1101537124</v>
      </c>
      <c r="B239" s="1" t="s">
        <v>550</v>
      </c>
      <c r="C239" s="1" t="s">
        <v>551</v>
      </c>
      <c r="D239" s="15" cm="1">
        <f t="array" ref="D239">(SUMPRODUCT(_xlfn.XLOOKUP(TRIM(G239:N239), $X$2:$X$6, $Y$2:$Y$6, 0), $G$4:$N$4) + SUMPRODUCT(_xlfn.XLOOKUP(TRIM(P239:T239), $X$2:$X$6, $Y$2:$Y$6, 0), $P$4:$T$4)) / SUM($G$4:$N$4, $P$4:$T$4)</f>
        <v>3.1351351351351351</v>
      </c>
      <c r="E239" s="1" t="s">
        <v>313</v>
      </c>
      <c r="G239" s="16" t="s">
        <v>16</v>
      </c>
      <c r="H239" s="16" t="s">
        <v>14</v>
      </c>
      <c r="I239" s="16" t="s">
        <v>14</v>
      </c>
      <c r="J239" s="16" t="s">
        <v>17</v>
      </c>
      <c r="K239" s="16" t="s">
        <v>17</v>
      </c>
      <c r="L239" s="16" t="s">
        <v>14</v>
      </c>
      <c r="M239" s="16" t="s">
        <v>17</v>
      </c>
      <c r="N239" s="16" t="s">
        <v>15</v>
      </c>
      <c r="O239" s="15" cm="1">
        <f t="array" ref="O239">SUMPRODUCT(_xlfn.XLOOKUP(G239:N239, $X$2:$X$6, $Y$2:$Y$6,0), $G$4:$N$4) / SUM($G$4:$N$4)</f>
        <v>3.1363636363636362</v>
      </c>
      <c r="P239" s="1" t="s">
        <v>16</v>
      </c>
      <c r="Q239" s="1" t="s">
        <v>17</v>
      </c>
      <c r="R239" s="1" t="s">
        <v>15</v>
      </c>
      <c r="S239" s="1" t="s">
        <v>14</v>
      </c>
      <c r="T239" s="1" t="s">
        <v>17</v>
      </c>
      <c r="U239" s="15" cm="1">
        <f t="array" ref="U239">SUMPRODUCT(_xlfn.XLOOKUP(P239:T239, $X$2:$X$6, $Y$2:$Y$6, 0), $P$4:$T$4) / SUM($P$4:$T$4)</f>
        <v>3.1333333333333333</v>
      </c>
    </row>
    <row r="240" spans="1:21">
      <c r="A240" s="1">
        <v>1100450024</v>
      </c>
      <c r="B240" s="1" t="s">
        <v>311</v>
      </c>
      <c r="C240" s="1" t="s">
        <v>312</v>
      </c>
      <c r="D240" s="15" cm="1">
        <f t="array" ref="D240">(SUMPRODUCT(_xlfn.XLOOKUP(TRIM(G240:N240), $X$2:$X$6, $Y$2:$Y$6, 0), $G$4:$N$4) + SUMPRODUCT(_xlfn.XLOOKUP(TRIM(P240:T240), $X$2:$X$6, $Y$2:$Y$6, 0), $P$4:$T$4)) / SUM($G$4:$N$4, $P$4:$T$4)</f>
        <v>3.1756756756756759</v>
      </c>
      <c r="E240" s="1" t="s">
        <v>313</v>
      </c>
      <c r="G240" s="16" t="s">
        <v>14</v>
      </c>
      <c r="H240" s="16" t="s">
        <v>16</v>
      </c>
      <c r="I240" s="16" t="s">
        <v>14</v>
      </c>
      <c r="J240" s="16" t="s">
        <v>15</v>
      </c>
      <c r="K240" s="16" t="s">
        <v>14</v>
      </c>
      <c r="L240" s="16" t="s">
        <v>15</v>
      </c>
      <c r="M240" s="16" t="s">
        <v>17</v>
      </c>
      <c r="N240" s="16" t="s">
        <v>17</v>
      </c>
      <c r="O240" s="15" cm="1">
        <f t="array" ref="O240">SUMPRODUCT(_xlfn.XLOOKUP(G240:N240, $X$2:$X$6, $Y$2:$Y$6,0), $G$4:$N$4) / SUM($G$4:$N$4)</f>
        <v>3.3181818181818183</v>
      </c>
      <c r="P240" s="1" t="s">
        <v>15</v>
      </c>
      <c r="Q240" s="1" t="s">
        <v>16</v>
      </c>
      <c r="R240" s="1" t="s">
        <v>16</v>
      </c>
      <c r="S240" s="1" t="s">
        <v>16</v>
      </c>
      <c r="T240" s="1" t="s">
        <v>17</v>
      </c>
      <c r="U240" s="15" cm="1">
        <f t="array" ref="U240">SUMPRODUCT(_xlfn.XLOOKUP(P240:T240, $X$2:$X$6, $Y$2:$Y$6, 0), $P$4:$T$4) / SUM($P$4:$T$4)</f>
        <v>2.9666666666666668</v>
      </c>
    </row>
    <row r="241" spans="1:21">
      <c r="A241" s="1">
        <v>1105894324</v>
      </c>
      <c r="B241" s="1" t="s">
        <v>314</v>
      </c>
      <c r="C241" s="1" t="s">
        <v>315</v>
      </c>
      <c r="D241" s="15" cm="1">
        <f t="array" ref="D241">(SUMPRODUCT(_xlfn.XLOOKUP(TRIM(G241:N241), $X$2:$X$6, $Y$2:$Y$6, 0), $G$4:$N$4) + SUMPRODUCT(_xlfn.XLOOKUP(TRIM(P241:T241), $X$2:$X$6, $Y$2:$Y$6, 0), $P$4:$T$4)) / SUM($G$4:$N$4, $P$4:$T$4)</f>
        <v>3.2162162162162162</v>
      </c>
      <c r="E241" s="1" t="s">
        <v>313</v>
      </c>
      <c r="G241" s="16" t="s">
        <v>17</v>
      </c>
      <c r="H241" s="16" t="s">
        <v>16</v>
      </c>
      <c r="I241" s="16" t="s">
        <v>14</v>
      </c>
      <c r="J241" s="16" t="s">
        <v>16</v>
      </c>
      <c r="K241" s="16" t="s">
        <v>14</v>
      </c>
      <c r="L241" s="16" t="s">
        <v>16</v>
      </c>
      <c r="M241" s="16" t="s">
        <v>14</v>
      </c>
      <c r="N241" s="16" t="s">
        <v>17</v>
      </c>
      <c r="O241" s="15" cm="1">
        <f t="array" ref="O241">SUMPRODUCT(_xlfn.XLOOKUP(G241:N241, $X$2:$X$6, $Y$2:$Y$6,0), $G$4:$N$4) / SUM($G$4:$N$4)</f>
        <v>3.1818181818181817</v>
      </c>
      <c r="P241" s="1" t="s">
        <v>16</v>
      </c>
      <c r="Q241" s="1" t="s">
        <v>16</v>
      </c>
      <c r="R241" s="1" t="s">
        <v>15</v>
      </c>
      <c r="S241" s="1" t="s">
        <v>16</v>
      </c>
      <c r="T241" s="1" t="s">
        <v>14</v>
      </c>
      <c r="U241" s="15" cm="1">
        <f t="array" ref="U241">SUMPRODUCT(_xlfn.XLOOKUP(P241:T241, $X$2:$X$6, $Y$2:$Y$6, 0), $P$4:$T$4) / SUM($P$4:$T$4)</f>
        <v>3.2666666666666666</v>
      </c>
    </row>
    <row r="242" spans="1:21">
      <c r="A242" s="1">
        <v>2100944724</v>
      </c>
      <c r="B242" s="1" t="s">
        <v>316</v>
      </c>
      <c r="C242" s="1" t="s">
        <v>317</v>
      </c>
      <c r="D242" s="15" cm="1">
        <f t="array" ref="D242">(SUMPRODUCT(_xlfn.XLOOKUP(TRIM(G242:N242), $X$2:$X$6, $Y$2:$Y$6, 0), $G$4:$N$4) + SUMPRODUCT(_xlfn.XLOOKUP(TRIM(P242:T242), $X$2:$X$6, $Y$2:$Y$6, 0), $P$4:$T$4)) / SUM($G$4:$N$4, $P$4:$T$4)</f>
        <v>2.9729729729729728</v>
      </c>
      <c r="E242" s="1" t="s">
        <v>313</v>
      </c>
      <c r="G242" s="16" t="s">
        <v>15</v>
      </c>
      <c r="H242" s="16" t="s">
        <v>16</v>
      </c>
      <c r="I242" s="16" t="s">
        <v>16</v>
      </c>
      <c r="J242" s="16" t="s">
        <v>17</v>
      </c>
      <c r="K242" s="16" t="s">
        <v>15</v>
      </c>
      <c r="L242" s="16" t="s">
        <v>14</v>
      </c>
      <c r="M242" s="16" t="s">
        <v>16</v>
      </c>
      <c r="N242" s="16" t="s">
        <v>17</v>
      </c>
      <c r="O242" s="15" cm="1">
        <f t="array" ref="O242">SUMPRODUCT(_xlfn.XLOOKUP(G242:N242, $X$2:$X$6, $Y$2:$Y$6,0), $G$4:$N$4) / SUM($G$4:$N$4)</f>
        <v>2.9090909090909092</v>
      </c>
      <c r="P242" s="1" t="s">
        <v>16</v>
      </c>
      <c r="Q242" s="1" t="s">
        <v>15</v>
      </c>
      <c r="R242" s="1" t="s">
        <v>14</v>
      </c>
      <c r="S242" s="1" t="s">
        <v>17</v>
      </c>
      <c r="T242" s="1" t="s">
        <v>16</v>
      </c>
      <c r="U242" s="15" cm="1">
        <f t="array" ref="U242">SUMPRODUCT(_xlfn.XLOOKUP(P242:T242, $X$2:$X$6, $Y$2:$Y$6, 0), $P$4:$T$4) / SUM($P$4:$T$4)</f>
        <v>3.0666666666666669</v>
      </c>
    </row>
    <row r="243" spans="1:21">
      <c r="A243" s="1">
        <v>1105794624</v>
      </c>
      <c r="B243" s="1" t="s">
        <v>318</v>
      </c>
      <c r="C243" s="1" t="s">
        <v>319</v>
      </c>
      <c r="D243" s="15" cm="1">
        <f t="array" ref="D243">(SUMPRODUCT(_xlfn.XLOOKUP(TRIM(G243:N243), $X$2:$X$6, $Y$2:$Y$6, 0), $G$4:$N$4) + SUMPRODUCT(_xlfn.XLOOKUP(TRIM(P243:T243), $X$2:$X$6, $Y$2:$Y$6, 0), $P$4:$T$4)) / SUM($G$4:$N$4, $P$4:$T$4)</f>
        <v>3.3378378378378377</v>
      </c>
      <c r="E243" s="1" t="s">
        <v>313</v>
      </c>
      <c r="G243" s="16" t="s">
        <v>14</v>
      </c>
      <c r="H243" s="16" t="s">
        <v>16</v>
      </c>
      <c r="I243" s="16" t="s">
        <v>16</v>
      </c>
      <c r="J243" s="16" t="s">
        <v>15</v>
      </c>
      <c r="K243" s="16" t="s">
        <v>15</v>
      </c>
      <c r="L243" s="16" t="s">
        <v>16</v>
      </c>
      <c r="M243" s="16" t="s">
        <v>17</v>
      </c>
      <c r="N243" s="16" t="s">
        <v>15</v>
      </c>
      <c r="O243" s="15" cm="1">
        <f t="array" ref="O243">SUMPRODUCT(_xlfn.XLOOKUP(G243:N243, $X$2:$X$6, $Y$2:$Y$6,0), $G$4:$N$4) / SUM($G$4:$N$4)</f>
        <v>3.1818181818181817</v>
      </c>
      <c r="P243" s="1" t="s">
        <v>15</v>
      </c>
      <c r="Q243" s="1" t="s">
        <v>15</v>
      </c>
      <c r="R243" s="1" t="s">
        <v>15</v>
      </c>
      <c r="S243" s="1" t="s">
        <v>14</v>
      </c>
      <c r="T243" s="1" t="s">
        <v>16</v>
      </c>
      <c r="U243" s="15" cm="1">
        <f t="array" ref="U243">SUMPRODUCT(_xlfn.XLOOKUP(P243:T243, $X$2:$X$6, $Y$2:$Y$6, 0), $P$4:$T$4) / SUM($P$4:$T$4)</f>
        <v>3.5666666666666669</v>
      </c>
    </row>
    <row r="244" spans="1:21">
      <c r="A244" s="1">
        <v>1103600324</v>
      </c>
      <c r="B244" s="1" t="s">
        <v>320</v>
      </c>
      <c r="C244" s="1" t="s">
        <v>321</v>
      </c>
      <c r="D244" s="15" cm="1">
        <f t="array" ref="D244">(SUMPRODUCT(_xlfn.XLOOKUP(TRIM(G244:N244), $X$2:$X$6, $Y$2:$Y$6, 0), $G$4:$N$4) + SUMPRODUCT(_xlfn.XLOOKUP(TRIM(P244:T244), $X$2:$X$6, $Y$2:$Y$6, 0), $P$4:$T$4)) / SUM($G$4:$N$4, $P$4:$T$4)</f>
        <v>3.2297297297297298</v>
      </c>
      <c r="E244" s="1" t="s">
        <v>313</v>
      </c>
      <c r="G244" s="16" t="s">
        <v>14</v>
      </c>
      <c r="H244" s="16" t="s">
        <v>14</v>
      </c>
      <c r="I244" s="16" t="s">
        <v>16</v>
      </c>
      <c r="J244" s="16" t="s">
        <v>15</v>
      </c>
      <c r="K244" s="16" t="s">
        <v>17</v>
      </c>
      <c r="L244" s="16" t="s">
        <v>15</v>
      </c>
      <c r="M244" s="16" t="s">
        <v>15</v>
      </c>
      <c r="N244" s="16" t="s">
        <v>15</v>
      </c>
      <c r="O244" s="15" cm="1">
        <f t="array" ref="O244">SUMPRODUCT(_xlfn.XLOOKUP(G244:N244, $X$2:$X$6, $Y$2:$Y$6,0), $G$4:$N$4) / SUM($G$4:$N$4)</f>
        <v>3.4090909090909092</v>
      </c>
      <c r="P244" s="1" t="s">
        <v>15</v>
      </c>
      <c r="Q244" s="1" t="s">
        <v>17</v>
      </c>
      <c r="R244" s="1" t="s">
        <v>14</v>
      </c>
      <c r="S244" s="1" t="s">
        <v>17</v>
      </c>
      <c r="T244" s="1" t="s">
        <v>16</v>
      </c>
      <c r="U244" s="15" cm="1">
        <f t="array" ref="U244">SUMPRODUCT(_xlfn.XLOOKUP(P244:T244, $X$2:$X$6, $Y$2:$Y$6, 0), $P$4:$T$4) / SUM($P$4:$T$4)</f>
        <v>2.9666666666666668</v>
      </c>
    </row>
    <row r="245" spans="1:21">
      <c r="A245" s="1">
        <v>1105493424</v>
      </c>
      <c r="B245" s="1" t="s">
        <v>322</v>
      </c>
      <c r="C245" s="1" t="s">
        <v>323</v>
      </c>
      <c r="D245" s="15" cm="1">
        <f t="array" ref="D245">(SUMPRODUCT(_xlfn.XLOOKUP(TRIM(G245:N245), $X$2:$X$6, $Y$2:$Y$6, 0), $G$4:$N$4) + SUMPRODUCT(_xlfn.XLOOKUP(TRIM(P245:T245), $X$2:$X$6, $Y$2:$Y$6, 0), $P$4:$T$4)) / SUM($G$4:$N$4, $P$4:$T$4)</f>
        <v>2.6351351351351351</v>
      </c>
      <c r="E245" s="1" t="s">
        <v>313</v>
      </c>
      <c r="G245" s="16" t="s">
        <v>15</v>
      </c>
      <c r="H245" s="16" t="s">
        <v>17</v>
      </c>
      <c r="I245" s="16" t="s">
        <v>16</v>
      </c>
      <c r="J245" s="16" t="s">
        <v>17</v>
      </c>
      <c r="K245" s="16" t="s">
        <v>15</v>
      </c>
      <c r="L245" s="16" t="s">
        <v>15</v>
      </c>
      <c r="M245" s="16" t="s">
        <v>16</v>
      </c>
      <c r="N245" s="16" t="s">
        <v>17</v>
      </c>
      <c r="O245" s="15" cm="1">
        <f t="array" ref="O245">SUMPRODUCT(_xlfn.XLOOKUP(G245:N245, $X$2:$X$6, $Y$2:$Y$6,0), $G$4:$N$4) / SUM($G$4:$N$4)</f>
        <v>2.6818181818181817</v>
      </c>
      <c r="P245" s="1" t="s">
        <v>15</v>
      </c>
      <c r="Q245" s="1" t="s">
        <v>16</v>
      </c>
      <c r="R245" s="1" t="s">
        <v>17</v>
      </c>
      <c r="S245" s="1" t="s">
        <v>17</v>
      </c>
      <c r="T245" s="1" t="s">
        <v>16</v>
      </c>
      <c r="U245" s="15" cm="1">
        <f t="array" ref="U245">SUMPRODUCT(_xlfn.XLOOKUP(P245:T245, $X$2:$X$6, $Y$2:$Y$6, 0), $P$4:$T$4) / SUM($P$4:$T$4)</f>
        <v>2.5666666666666669</v>
      </c>
    </row>
    <row r="246" spans="1:21">
      <c r="A246" s="1">
        <v>2100929524</v>
      </c>
      <c r="B246" s="1" t="s">
        <v>324</v>
      </c>
      <c r="C246" s="1" t="s">
        <v>325</v>
      </c>
      <c r="D246" s="15" cm="1">
        <f t="array" ref="D246">(SUMPRODUCT(_xlfn.XLOOKUP(TRIM(G246:N246), $X$2:$X$6, $Y$2:$Y$6, 0), $G$4:$N$4) + SUMPRODUCT(_xlfn.XLOOKUP(TRIM(P246:T246), $X$2:$X$6, $Y$2:$Y$6, 0), $P$4:$T$4)) / SUM($G$4:$N$4, $P$4:$T$4)</f>
        <v>3.189189189189189</v>
      </c>
      <c r="E246" s="1" t="s">
        <v>313</v>
      </c>
      <c r="G246" s="16" t="s">
        <v>17</v>
      </c>
      <c r="H246" s="16" t="s">
        <v>17</v>
      </c>
      <c r="I246" s="16" t="s">
        <v>15</v>
      </c>
      <c r="J246" s="16" t="s">
        <v>15</v>
      </c>
      <c r="K246" s="16" t="s">
        <v>15</v>
      </c>
      <c r="L246" s="16" t="s">
        <v>16</v>
      </c>
      <c r="M246" s="16" t="s">
        <v>14</v>
      </c>
      <c r="N246" s="16" t="s">
        <v>17</v>
      </c>
      <c r="O246" s="15" cm="1">
        <f t="array" ref="O246">SUMPRODUCT(_xlfn.XLOOKUP(G246:N246, $X$2:$X$6, $Y$2:$Y$6,0), $G$4:$N$4) / SUM($G$4:$N$4)</f>
        <v>2.9545454545454546</v>
      </c>
      <c r="P246" s="1" t="s">
        <v>16</v>
      </c>
      <c r="Q246" s="1" t="s">
        <v>14</v>
      </c>
      <c r="R246" s="1" t="s">
        <v>14</v>
      </c>
      <c r="S246" s="1" t="s">
        <v>16</v>
      </c>
      <c r="T246" s="1" t="s">
        <v>14</v>
      </c>
      <c r="U246" s="15" cm="1">
        <f t="array" ref="U246">SUMPRODUCT(_xlfn.XLOOKUP(P246:T246, $X$2:$X$6, $Y$2:$Y$6, 0), $P$4:$T$4) / SUM($P$4:$T$4)</f>
        <v>3.5333333333333332</v>
      </c>
    </row>
    <row r="247" spans="1:21">
      <c r="A247" s="1">
        <v>2100321124</v>
      </c>
      <c r="B247" s="1" t="s">
        <v>326</v>
      </c>
      <c r="C247" s="1" t="s">
        <v>327</v>
      </c>
      <c r="D247" s="15" cm="1">
        <f t="array" ref="D247">(SUMPRODUCT(_xlfn.XLOOKUP(TRIM(G247:N247), $X$2:$X$6, $Y$2:$Y$6, 0), $G$4:$N$4) + SUMPRODUCT(_xlfn.XLOOKUP(TRIM(P247:T247), $X$2:$X$6, $Y$2:$Y$6, 0), $P$4:$T$4)) / SUM($G$4:$N$4, $P$4:$T$4)</f>
        <v>2.9459459459459461</v>
      </c>
      <c r="E247" s="1" t="s">
        <v>313</v>
      </c>
      <c r="G247" s="16" t="s">
        <v>15</v>
      </c>
      <c r="H247" s="16" t="s">
        <v>16</v>
      </c>
      <c r="I247" s="16" t="s">
        <v>17</v>
      </c>
      <c r="J247" s="16" t="s">
        <v>15</v>
      </c>
      <c r="K247" s="16" t="s">
        <v>17</v>
      </c>
      <c r="L247" s="16" t="s">
        <v>14</v>
      </c>
      <c r="M247" s="16" t="s">
        <v>15</v>
      </c>
      <c r="N247" s="16" t="s">
        <v>17</v>
      </c>
      <c r="O247" s="15" cm="1">
        <f t="array" ref="O247">SUMPRODUCT(_xlfn.XLOOKUP(G247:N247, $X$2:$X$6, $Y$2:$Y$6,0), $G$4:$N$4) / SUM($G$4:$N$4)</f>
        <v>2.9090909090909092</v>
      </c>
      <c r="P247" s="1" t="s">
        <v>16</v>
      </c>
      <c r="Q247" s="1" t="s">
        <v>14</v>
      </c>
      <c r="R247" s="1" t="s">
        <v>17</v>
      </c>
      <c r="S247" s="1" t="s">
        <v>14</v>
      </c>
      <c r="T247" s="1" t="s">
        <v>17</v>
      </c>
      <c r="U247" s="15" cm="1">
        <f t="array" ref="U247">SUMPRODUCT(_xlfn.XLOOKUP(P247:T247, $X$2:$X$6, $Y$2:$Y$6, 0), $P$4:$T$4) / SUM($P$4:$T$4)</f>
        <v>3</v>
      </c>
    </row>
    <row r="248" spans="1:21">
      <c r="A248" s="1">
        <v>2100573324</v>
      </c>
      <c r="B248" s="1" t="s">
        <v>328</v>
      </c>
      <c r="C248" s="1" t="s">
        <v>329</v>
      </c>
      <c r="D248" s="15" cm="1">
        <f t="array" ref="D248">(SUMPRODUCT(_xlfn.XLOOKUP(TRIM(G248:N248), $X$2:$X$6, $Y$2:$Y$6, 0), $G$4:$N$4) + SUMPRODUCT(_xlfn.XLOOKUP(TRIM(P248:T248), $X$2:$X$6, $Y$2:$Y$6, 0), $P$4:$T$4)) / SUM($G$4:$N$4, $P$4:$T$4)</f>
        <v>3.3783783783783785</v>
      </c>
      <c r="E248" s="1" t="s">
        <v>313</v>
      </c>
      <c r="G248" s="16" t="s">
        <v>16</v>
      </c>
      <c r="H248" s="16" t="s">
        <v>15</v>
      </c>
      <c r="I248" s="16" t="s">
        <v>17</v>
      </c>
      <c r="J248" s="16" t="s">
        <v>14</v>
      </c>
      <c r="K248" s="16" t="s">
        <v>16</v>
      </c>
      <c r="L248" s="16" t="s">
        <v>15</v>
      </c>
      <c r="M248" s="16" t="s">
        <v>14</v>
      </c>
      <c r="N248" s="16" t="s">
        <v>16</v>
      </c>
      <c r="O248" s="15" cm="1">
        <f t="array" ref="O248">SUMPRODUCT(_xlfn.XLOOKUP(G248:N248, $X$2:$X$6, $Y$2:$Y$6,0), $G$4:$N$4) / SUM($G$4:$N$4)</f>
        <v>3.2272727272727271</v>
      </c>
      <c r="P248" s="1" t="s">
        <v>14</v>
      </c>
      <c r="Q248" s="1" t="s">
        <v>16</v>
      </c>
      <c r="R248" s="1" t="s">
        <v>15</v>
      </c>
      <c r="S248" s="1" t="s">
        <v>15</v>
      </c>
      <c r="T248" s="1" t="s">
        <v>14</v>
      </c>
      <c r="U248" s="15" cm="1">
        <f t="array" ref="U248">SUMPRODUCT(_xlfn.XLOOKUP(P248:T248, $X$2:$X$6, $Y$2:$Y$6, 0), $P$4:$T$4) / SUM($P$4:$T$4)</f>
        <v>3.6</v>
      </c>
    </row>
    <row r="249" spans="1:21">
      <c r="A249" s="1">
        <v>1107274724</v>
      </c>
      <c r="B249" s="1" t="s">
        <v>330</v>
      </c>
      <c r="C249" s="1" t="s">
        <v>331</v>
      </c>
      <c r="D249" s="15" cm="1">
        <f t="array" ref="D249">(SUMPRODUCT(_xlfn.XLOOKUP(TRIM(G249:N249), $X$2:$X$6, $Y$2:$Y$6, 0), $G$4:$N$4) + SUMPRODUCT(_xlfn.XLOOKUP(TRIM(P249:T249), $X$2:$X$6, $Y$2:$Y$6, 0), $P$4:$T$4)) / SUM($G$4:$N$4, $P$4:$T$4)</f>
        <v>2.9729729729729728</v>
      </c>
      <c r="E249" s="1" t="s">
        <v>313</v>
      </c>
      <c r="G249" s="16" t="s">
        <v>16</v>
      </c>
      <c r="H249" s="16" t="s">
        <v>17</v>
      </c>
      <c r="I249" s="16" t="s">
        <v>15</v>
      </c>
      <c r="J249" s="16" t="s">
        <v>17</v>
      </c>
      <c r="K249" s="16" t="s">
        <v>17</v>
      </c>
      <c r="L249" s="16" t="s">
        <v>14</v>
      </c>
      <c r="M249" s="16" t="s">
        <v>14</v>
      </c>
      <c r="N249" s="16" t="s">
        <v>14</v>
      </c>
      <c r="O249" s="15" cm="1">
        <f t="array" ref="O249">SUMPRODUCT(_xlfn.XLOOKUP(G249:N249, $X$2:$X$6, $Y$2:$Y$6,0), $G$4:$N$4) / SUM($G$4:$N$4)</f>
        <v>2.9090909090909092</v>
      </c>
      <c r="P249" s="1" t="s">
        <v>16</v>
      </c>
      <c r="Q249" s="1" t="s">
        <v>15</v>
      </c>
      <c r="R249" s="1" t="s">
        <v>15</v>
      </c>
      <c r="S249" s="1" t="s">
        <v>17</v>
      </c>
      <c r="T249" s="1" t="s">
        <v>14</v>
      </c>
      <c r="U249" s="15" cm="1">
        <f t="array" ref="U249">SUMPRODUCT(_xlfn.XLOOKUP(P249:T249, $X$2:$X$6, $Y$2:$Y$6, 0), $P$4:$T$4) / SUM($P$4:$T$4)</f>
        <v>3.0666666666666669</v>
      </c>
    </row>
    <row r="250" spans="1:21">
      <c r="A250" s="1">
        <v>1102895924</v>
      </c>
      <c r="B250" s="1" t="s">
        <v>332</v>
      </c>
      <c r="C250" s="1" t="s">
        <v>333</v>
      </c>
      <c r="D250" s="15" cm="1">
        <f t="array" ref="D250">(SUMPRODUCT(_xlfn.XLOOKUP(TRIM(G250:N250), $X$2:$X$6, $Y$2:$Y$6, 0), $G$4:$N$4) + SUMPRODUCT(_xlfn.XLOOKUP(TRIM(P250:T250), $X$2:$X$6, $Y$2:$Y$6, 0), $P$4:$T$4)) / SUM($G$4:$N$4, $P$4:$T$4)</f>
        <v>3.2972972972972974</v>
      </c>
      <c r="E250" s="1" t="s">
        <v>313</v>
      </c>
      <c r="G250" s="16" t="s">
        <v>16</v>
      </c>
      <c r="H250" s="16" t="s">
        <v>15</v>
      </c>
      <c r="I250" s="16" t="s">
        <v>16</v>
      </c>
      <c r="J250" s="16" t="s">
        <v>14</v>
      </c>
      <c r="K250" s="16" t="s">
        <v>14</v>
      </c>
      <c r="L250" s="16" t="s">
        <v>15</v>
      </c>
      <c r="M250" s="16" t="s">
        <v>17</v>
      </c>
      <c r="N250" s="16" t="s">
        <v>17</v>
      </c>
      <c r="O250" s="15" cm="1">
        <f t="array" ref="O250">SUMPRODUCT(_xlfn.XLOOKUP(G250:N250, $X$2:$X$6, $Y$2:$Y$6,0), $G$4:$N$4) / SUM($G$4:$N$4)</f>
        <v>3.2272727272727271</v>
      </c>
      <c r="P250" s="1" t="s">
        <v>14</v>
      </c>
      <c r="Q250" s="1" t="s">
        <v>14</v>
      </c>
      <c r="R250" s="1" t="s">
        <v>17</v>
      </c>
      <c r="S250" s="1" t="s">
        <v>14</v>
      </c>
      <c r="T250" s="1" t="s">
        <v>15</v>
      </c>
      <c r="U250" s="15" cm="1">
        <f t="array" ref="U250">SUMPRODUCT(_xlfn.XLOOKUP(P250:T250, $X$2:$X$6, $Y$2:$Y$6, 0), $P$4:$T$4) / SUM($P$4:$T$4)</f>
        <v>3.4</v>
      </c>
    </row>
    <row r="251" spans="1:21">
      <c r="A251" s="1">
        <v>1101156824</v>
      </c>
      <c r="B251" s="1" t="s">
        <v>334</v>
      </c>
      <c r="C251" s="1" t="s">
        <v>335</v>
      </c>
      <c r="D251" s="15" cm="1">
        <f t="array" ref="D251">(SUMPRODUCT(_xlfn.XLOOKUP(TRIM(G251:N251), $X$2:$X$6, $Y$2:$Y$6, 0), $G$4:$N$4) + SUMPRODUCT(_xlfn.XLOOKUP(TRIM(P251:T251), $X$2:$X$6, $Y$2:$Y$6, 0), $P$4:$T$4)) / SUM($G$4:$N$4, $P$4:$T$4)</f>
        <v>3.2702702702702702</v>
      </c>
      <c r="E251" s="1" t="s">
        <v>313</v>
      </c>
      <c r="G251" s="16" t="s">
        <v>15</v>
      </c>
      <c r="H251" s="16" t="s">
        <v>16</v>
      </c>
      <c r="I251" s="16" t="s">
        <v>17</v>
      </c>
      <c r="J251" s="16" t="s">
        <v>14</v>
      </c>
      <c r="K251" s="16" t="s">
        <v>16</v>
      </c>
      <c r="L251" s="16" t="s">
        <v>15</v>
      </c>
      <c r="M251" s="16" t="s">
        <v>17</v>
      </c>
      <c r="N251" s="16" t="s">
        <v>15</v>
      </c>
      <c r="O251" s="15" cm="1">
        <f t="array" ref="O251">SUMPRODUCT(_xlfn.XLOOKUP(G251:N251, $X$2:$X$6, $Y$2:$Y$6,0), $G$4:$N$4) / SUM($G$4:$N$4)</f>
        <v>3.0454545454545454</v>
      </c>
      <c r="P251" s="1" t="s">
        <v>14</v>
      </c>
      <c r="Q251" s="1" t="s">
        <v>16</v>
      </c>
      <c r="R251" s="1" t="s">
        <v>14</v>
      </c>
      <c r="S251" s="1" t="s">
        <v>14</v>
      </c>
      <c r="T251" s="1" t="s">
        <v>17</v>
      </c>
      <c r="U251" s="15" cm="1">
        <f t="array" ref="U251">SUMPRODUCT(_xlfn.XLOOKUP(P251:T251, $X$2:$X$6, $Y$2:$Y$6, 0), $P$4:$T$4) / SUM($P$4:$T$4)</f>
        <v>3.6</v>
      </c>
    </row>
    <row r="252" spans="1:21">
      <c r="A252" s="1">
        <v>1106729924</v>
      </c>
      <c r="B252" s="1" t="s">
        <v>336</v>
      </c>
      <c r="C252" s="1" t="s">
        <v>337</v>
      </c>
      <c r="D252" s="15" cm="1">
        <f t="array" ref="D252">(SUMPRODUCT(_xlfn.XLOOKUP(TRIM(G252:N252), $X$2:$X$6, $Y$2:$Y$6, 0), $G$4:$N$4) + SUMPRODUCT(_xlfn.XLOOKUP(TRIM(P252:T252), $X$2:$X$6, $Y$2:$Y$6, 0), $P$4:$T$4)) / SUM($G$4:$N$4, $P$4:$T$4)</f>
        <v>3.2162162162162162</v>
      </c>
      <c r="E252" s="1" t="s">
        <v>313</v>
      </c>
      <c r="G252" s="16" t="s">
        <v>17</v>
      </c>
      <c r="H252" s="16" t="s">
        <v>14</v>
      </c>
      <c r="I252" s="16" t="s">
        <v>17</v>
      </c>
      <c r="J252" s="16" t="s">
        <v>16</v>
      </c>
      <c r="K252" s="16" t="s">
        <v>16</v>
      </c>
      <c r="L252" s="16" t="s">
        <v>14</v>
      </c>
      <c r="M252" s="16" t="s">
        <v>16</v>
      </c>
      <c r="N252" s="16" t="s">
        <v>14</v>
      </c>
      <c r="O252" s="15" cm="1">
        <f t="array" ref="O252">SUMPRODUCT(_xlfn.XLOOKUP(G252:N252, $X$2:$X$6, $Y$2:$Y$6,0), $G$4:$N$4) / SUM($G$4:$N$4)</f>
        <v>3.0909090909090908</v>
      </c>
      <c r="P252" s="1" t="s">
        <v>16</v>
      </c>
      <c r="Q252" s="1" t="s">
        <v>15</v>
      </c>
      <c r="R252" s="1" t="s">
        <v>14</v>
      </c>
      <c r="S252" s="1" t="s">
        <v>16</v>
      </c>
      <c r="T252" s="1" t="s">
        <v>15</v>
      </c>
      <c r="U252" s="15" cm="1">
        <f t="array" ref="U252">SUMPRODUCT(_xlfn.XLOOKUP(P252:T252, $X$2:$X$6, $Y$2:$Y$6, 0), $P$4:$T$4) / SUM($P$4:$T$4)</f>
        <v>3.4</v>
      </c>
    </row>
    <row r="253" spans="1:21">
      <c r="A253" s="1">
        <v>1105146224</v>
      </c>
      <c r="B253" s="1" t="s">
        <v>338</v>
      </c>
      <c r="C253" s="1" t="s">
        <v>339</v>
      </c>
      <c r="D253" s="15" cm="1">
        <f t="array" ref="D253">(SUMPRODUCT(_xlfn.XLOOKUP(TRIM(G253:N253), $X$2:$X$6, $Y$2:$Y$6, 0), $G$4:$N$4) + SUMPRODUCT(_xlfn.XLOOKUP(TRIM(P253:T253), $X$2:$X$6, $Y$2:$Y$6, 0), $P$4:$T$4)) / SUM($G$4:$N$4, $P$4:$T$4)</f>
        <v>3.2162162162162162</v>
      </c>
      <c r="E253" s="1" t="s">
        <v>313</v>
      </c>
      <c r="G253" s="16" t="s">
        <v>14</v>
      </c>
      <c r="H253" s="16" t="s">
        <v>16</v>
      </c>
      <c r="I253" s="16" t="s">
        <v>16</v>
      </c>
      <c r="J253" s="16" t="s">
        <v>15</v>
      </c>
      <c r="K253" s="16" t="s">
        <v>17</v>
      </c>
      <c r="L253" s="16" t="s">
        <v>17</v>
      </c>
      <c r="M253" s="16" t="s">
        <v>15</v>
      </c>
      <c r="N253" s="16" t="s">
        <v>15</v>
      </c>
      <c r="O253" s="15" cm="1">
        <f t="array" ref="O253">SUMPRODUCT(_xlfn.XLOOKUP(G253:N253, $X$2:$X$6, $Y$2:$Y$6,0), $G$4:$N$4) / SUM($G$4:$N$4)</f>
        <v>3.0909090909090908</v>
      </c>
      <c r="P253" s="1" t="s">
        <v>14</v>
      </c>
      <c r="Q253" s="1" t="s">
        <v>17</v>
      </c>
      <c r="R253" s="1" t="s">
        <v>14</v>
      </c>
      <c r="S253" s="1" t="s">
        <v>16</v>
      </c>
      <c r="T253" s="1" t="s">
        <v>15</v>
      </c>
      <c r="U253" s="15" cm="1">
        <f t="array" ref="U253">SUMPRODUCT(_xlfn.XLOOKUP(P253:T253, $X$2:$X$6, $Y$2:$Y$6, 0), $P$4:$T$4) / SUM($P$4:$T$4)</f>
        <v>3.4</v>
      </c>
    </row>
    <row r="254" spans="1:21">
      <c r="A254" s="1">
        <v>2100076424</v>
      </c>
      <c r="B254" s="1" t="s">
        <v>340</v>
      </c>
      <c r="C254" s="1" t="s">
        <v>341</v>
      </c>
      <c r="D254" s="15" cm="1">
        <f t="array" ref="D254">(SUMPRODUCT(_xlfn.XLOOKUP(TRIM(G254:N254), $X$2:$X$6, $Y$2:$Y$6, 0), $G$4:$N$4) + SUMPRODUCT(_xlfn.XLOOKUP(TRIM(P254:T254), $X$2:$X$6, $Y$2:$Y$6, 0), $P$4:$T$4)) / SUM($G$4:$N$4, $P$4:$T$4)</f>
        <v>3.2702702702702702</v>
      </c>
      <c r="E254" s="1" t="s">
        <v>313</v>
      </c>
      <c r="G254" s="16" t="s">
        <v>14</v>
      </c>
      <c r="H254" s="16" t="s">
        <v>15</v>
      </c>
      <c r="I254" s="16" t="s">
        <v>14</v>
      </c>
      <c r="J254" s="16" t="s">
        <v>16</v>
      </c>
      <c r="K254" s="16" t="s">
        <v>16</v>
      </c>
      <c r="L254" s="16" t="s">
        <v>17</v>
      </c>
      <c r="M254" s="16" t="s">
        <v>17</v>
      </c>
      <c r="N254" s="16" t="s">
        <v>16</v>
      </c>
      <c r="O254" s="15" cm="1">
        <f t="array" ref="O254">SUMPRODUCT(_xlfn.XLOOKUP(G254:N254, $X$2:$X$6, $Y$2:$Y$6,0), $G$4:$N$4) / SUM($G$4:$N$4)</f>
        <v>3.1818181818181817</v>
      </c>
      <c r="P254" s="1" t="s">
        <v>14</v>
      </c>
      <c r="Q254" s="1" t="s">
        <v>15</v>
      </c>
      <c r="R254" s="1" t="s">
        <v>16</v>
      </c>
      <c r="S254" s="1" t="s">
        <v>16</v>
      </c>
      <c r="T254" s="1" t="s">
        <v>14</v>
      </c>
      <c r="U254" s="15" cm="1">
        <f t="array" ref="U254">SUMPRODUCT(_xlfn.XLOOKUP(P254:T254, $X$2:$X$6, $Y$2:$Y$6, 0), $P$4:$T$4) / SUM($P$4:$T$4)</f>
        <v>3.4</v>
      </c>
    </row>
    <row r="255" spans="1:21">
      <c r="A255" s="1">
        <v>2100225224</v>
      </c>
      <c r="B255" s="1" t="s">
        <v>342</v>
      </c>
      <c r="C255" s="1" t="s">
        <v>343</v>
      </c>
      <c r="D255" s="15" cm="1">
        <f t="array" ref="D255">(SUMPRODUCT(_xlfn.XLOOKUP(TRIM(G255:N255), $X$2:$X$6, $Y$2:$Y$6, 0), $G$4:$N$4) + SUMPRODUCT(_xlfn.XLOOKUP(TRIM(P255:T255), $X$2:$X$6, $Y$2:$Y$6, 0), $P$4:$T$4)) / SUM($G$4:$N$4, $P$4:$T$4)</f>
        <v>2.7027027027027026</v>
      </c>
      <c r="E255" s="1" t="s">
        <v>313</v>
      </c>
      <c r="G255" s="16" t="s">
        <v>16</v>
      </c>
      <c r="H255" s="16" t="s">
        <v>16</v>
      </c>
      <c r="I255" s="16" t="s">
        <v>14</v>
      </c>
      <c r="J255" s="16" t="s">
        <v>16</v>
      </c>
      <c r="K255" s="16" t="s">
        <v>17</v>
      </c>
      <c r="L255" s="16" t="s">
        <v>17</v>
      </c>
      <c r="M255" s="16" t="s">
        <v>17</v>
      </c>
      <c r="N255" s="16" t="s">
        <v>17</v>
      </c>
      <c r="O255" s="15" cm="1">
        <f t="array" ref="O255">SUMPRODUCT(_xlfn.XLOOKUP(G255:N255, $X$2:$X$6, $Y$2:$Y$6,0), $G$4:$N$4) / SUM($G$4:$N$4)</f>
        <v>2.8181818181818183</v>
      </c>
      <c r="P255" s="1" t="s">
        <v>16</v>
      </c>
      <c r="Q255" s="1" t="s">
        <v>15</v>
      </c>
      <c r="R255" s="1" t="s">
        <v>17</v>
      </c>
      <c r="S255" s="1" t="s">
        <v>17</v>
      </c>
      <c r="T255" s="1" t="s">
        <v>16</v>
      </c>
      <c r="U255" s="15" cm="1">
        <f t="array" ref="U255">SUMPRODUCT(_xlfn.XLOOKUP(P255:T255, $X$2:$X$6, $Y$2:$Y$6, 0), $P$4:$T$4) / SUM($P$4:$T$4)</f>
        <v>2.5333333333333332</v>
      </c>
    </row>
    <row r="256" spans="1:21">
      <c r="A256" s="1">
        <v>2200026424</v>
      </c>
      <c r="B256" s="1" t="s">
        <v>344</v>
      </c>
      <c r="C256" s="1" t="s">
        <v>345</v>
      </c>
      <c r="D256" s="15" cm="1">
        <f t="array" ref="D256">(SUMPRODUCT(_xlfn.XLOOKUP(TRIM(G256:N256), $X$2:$X$6, $Y$2:$Y$6, 0), $G$4:$N$4) + SUMPRODUCT(_xlfn.XLOOKUP(TRIM(P256:T256), $X$2:$X$6, $Y$2:$Y$6, 0), $P$4:$T$4)) / SUM($G$4:$N$4, $P$4:$T$4)</f>
        <v>3.2162162162162162</v>
      </c>
      <c r="E256" s="1" t="s">
        <v>313</v>
      </c>
      <c r="G256" s="16" t="s">
        <v>16</v>
      </c>
      <c r="H256" s="16" t="s">
        <v>14</v>
      </c>
      <c r="I256" s="16" t="s">
        <v>17</v>
      </c>
      <c r="J256" s="16" t="s">
        <v>14</v>
      </c>
      <c r="K256" s="16" t="s">
        <v>17</v>
      </c>
      <c r="L256" s="16" t="s">
        <v>15</v>
      </c>
      <c r="M256" s="16" t="s">
        <v>16</v>
      </c>
      <c r="N256" s="16" t="s">
        <v>16</v>
      </c>
      <c r="O256" s="15" cm="1">
        <f t="array" ref="O256">SUMPRODUCT(_xlfn.XLOOKUP(G256:N256, $X$2:$X$6, $Y$2:$Y$6,0), $G$4:$N$4) / SUM($G$4:$N$4)</f>
        <v>3.1363636363636362</v>
      </c>
      <c r="P256" s="1" t="s">
        <v>14</v>
      </c>
      <c r="Q256" s="1" t="s">
        <v>14</v>
      </c>
      <c r="R256" s="1" t="s">
        <v>16</v>
      </c>
      <c r="S256" s="1" t="s">
        <v>16</v>
      </c>
      <c r="T256" s="1" t="s">
        <v>16</v>
      </c>
      <c r="U256" s="15" cm="1">
        <f t="array" ref="U256">SUMPRODUCT(_xlfn.XLOOKUP(P256:T256, $X$2:$X$6, $Y$2:$Y$6, 0), $P$4:$T$4) / SUM($P$4:$T$4)</f>
        <v>3.3333333333333335</v>
      </c>
    </row>
    <row r="257" spans="1:21">
      <c r="A257" s="1">
        <v>1100420124</v>
      </c>
      <c r="B257" s="1" t="s">
        <v>346</v>
      </c>
      <c r="C257" s="1" t="s">
        <v>347</v>
      </c>
      <c r="D257" s="15" cm="1">
        <f t="array" ref="D257">(SUMPRODUCT(_xlfn.XLOOKUP(TRIM(G257:N257), $X$2:$X$6, $Y$2:$Y$6, 0), $G$4:$N$4) + SUMPRODUCT(_xlfn.XLOOKUP(TRIM(P257:T257), $X$2:$X$6, $Y$2:$Y$6, 0), $P$4:$T$4)) / SUM($G$4:$N$4, $P$4:$T$4)</f>
        <v>2.8648648648648649</v>
      </c>
      <c r="E257" s="1" t="s">
        <v>313</v>
      </c>
      <c r="G257" s="16" t="s">
        <v>17</v>
      </c>
      <c r="H257" s="16" t="s">
        <v>17</v>
      </c>
      <c r="I257" s="16" t="s">
        <v>15</v>
      </c>
      <c r="J257" s="16" t="s">
        <v>17</v>
      </c>
      <c r="K257" s="16" t="s">
        <v>16</v>
      </c>
      <c r="L257" s="16" t="s">
        <v>17</v>
      </c>
      <c r="M257" s="16" t="s">
        <v>14</v>
      </c>
      <c r="N257" s="16" t="s">
        <v>16</v>
      </c>
      <c r="O257" s="15" cm="1">
        <f t="array" ref="O257">SUMPRODUCT(_xlfn.XLOOKUP(G257:N257, $X$2:$X$6, $Y$2:$Y$6,0), $G$4:$N$4) / SUM($G$4:$N$4)</f>
        <v>2.6363636363636362</v>
      </c>
      <c r="P257" s="1" t="s">
        <v>17</v>
      </c>
      <c r="Q257" s="1" t="s">
        <v>16</v>
      </c>
      <c r="R257" s="1" t="s">
        <v>14</v>
      </c>
      <c r="S257" s="1" t="s">
        <v>14</v>
      </c>
      <c r="T257" s="1" t="s">
        <v>17</v>
      </c>
      <c r="U257" s="15" cm="1">
        <f t="array" ref="U257">SUMPRODUCT(_xlfn.XLOOKUP(P257:T257, $X$2:$X$6, $Y$2:$Y$6, 0), $P$4:$T$4) / SUM($P$4:$T$4)</f>
        <v>3.2</v>
      </c>
    </row>
    <row r="258" spans="1:21">
      <c r="A258" s="1">
        <v>1103518424</v>
      </c>
      <c r="B258" s="1" t="s">
        <v>348</v>
      </c>
      <c r="C258" s="1" t="s">
        <v>349</v>
      </c>
      <c r="D258" s="15" cm="1">
        <f t="array" ref="D258">(SUMPRODUCT(_xlfn.XLOOKUP(TRIM(G258:N258), $X$2:$X$6, $Y$2:$Y$6, 0), $G$4:$N$4) + SUMPRODUCT(_xlfn.XLOOKUP(TRIM(P258:T258), $X$2:$X$6, $Y$2:$Y$6, 0), $P$4:$T$4)) / SUM($G$4:$N$4, $P$4:$T$4)</f>
        <v>3.2837837837837838</v>
      </c>
      <c r="E258" s="1" t="s">
        <v>313</v>
      </c>
      <c r="G258" s="16" t="s">
        <v>16</v>
      </c>
      <c r="H258" s="16" t="s">
        <v>15</v>
      </c>
      <c r="I258" s="16" t="s">
        <v>14</v>
      </c>
      <c r="J258" s="16" t="s">
        <v>15</v>
      </c>
      <c r="K258" s="16" t="s">
        <v>17</v>
      </c>
      <c r="L258" s="16" t="s">
        <v>14</v>
      </c>
      <c r="M258" s="16" t="s">
        <v>15</v>
      </c>
      <c r="N258" s="16" t="s">
        <v>14</v>
      </c>
      <c r="O258" s="15" cm="1">
        <f t="array" ref="O258">SUMPRODUCT(_xlfn.XLOOKUP(G258:N258, $X$2:$X$6, $Y$2:$Y$6,0), $G$4:$N$4) / SUM($G$4:$N$4)</f>
        <v>3.5</v>
      </c>
      <c r="P258" s="1" t="s">
        <v>15</v>
      </c>
      <c r="Q258" s="1" t="s">
        <v>16</v>
      </c>
      <c r="R258" s="1" t="s">
        <v>16</v>
      </c>
      <c r="S258" s="1" t="s">
        <v>17</v>
      </c>
      <c r="T258" s="1" t="s">
        <v>14</v>
      </c>
      <c r="U258" s="15" cm="1">
        <f t="array" ref="U258">SUMPRODUCT(_xlfn.XLOOKUP(P258:T258, $X$2:$X$6, $Y$2:$Y$6, 0), $P$4:$T$4) / SUM($P$4:$T$4)</f>
        <v>2.9666666666666668</v>
      </c>
    </row>
    <row r="259" spans="1:21">
      <c r="A259" s="1">
        <v>1104258624</v>
      </c>
      <c r="B259" s="1" t="s">
        <v>350</v>
      </c>
      <c r="C259" s="1" t="s">
        <v>351</v>
      </c>
      <c r="D259" s="15" cm="1">
        <f t="array" ref="D259">(SUMPRODUCT(_xlfn.XLOOKUP(TRIM(G259:N259), $X$2:$X$6, $Y$2:$Y$6, 0), $G$4:$N$4) + SUMPRODUCT(_xlfn.XLOOKUP(TRIM(P259:T259), $X$2:$X$6, $Y$2:$Y$6, 0), $P$4:$T$4)) / SUM($G$4:$N$4, $P$4:$T$4)</f>
        <v>2.9729729729729728</v>
      </c>
      <c r="E259" s="1" t="s">
        <v>313</v>
      </c>
      <c r="G259" s="16" t="s">
        <v>15</v>
      </c>
      <c r="H259" s="16" t="s">
        <v>17</v>
      </c>
      <c r="I259" s="16" t="s">
        <v>16</v>
      </c>
      <c r="J259" s="16" t="s">
        <v>16</v>
      </c>
      <c r="K259" s="16" t="s">
        <v>17</v>
      </c>
      <c r="L259" s="16" t="s">
        <v>14</v>
      </c>
      <c r="M259" s="16" t="s">
        <v>15</v>
      </c>
      <c r="N259" s="16" t="s">
        <v>16</v>
      </c>
      <c r="O259" s="15" cm="1">
        <f t="array" ref="O259">SUMPRODUCT(_xlfn.XLOOKUP(G259:N259, $X$2:$X$6, $Y$2:$Y$6,0), $G$4:$N$4) / SUM($G$4:$N$4)</f>
        <v>2.9090909090909092</v>
      </c>
      <c r="P259" s="1" t="s">
        <v>17</v>
      </c>
      <c r="Q259" s="1" t="s">
        <v>16</v>
      </c>
      <c r="R259" s="1" t="s">
        <v>16</v>
      </c>
      <c r="S259" s="1" t="s">
        <v>15</v>
      </c>
      <c r="T259" s="1" t="s">
        <v>14</v>
      </c>
      <c r="U259" s="15" cm="1">
        <f t="array" ref="U259">SUMPRODUCT(_xlfn.XLOOKUP(P259:T259, $X$2:$X$6, $Y$2:$Y$6, 0), $P$4:$T$4) / SUM($P$4:$T$4)</f>
        <v>3.0666666666666669</v>
      </c>
    </row>
    <row r="260" spans="1:21">
      <c r="A260" s="1">
        <v>1103523824</v>
      </c>
      <c r="B260" s="1" t="s">
        <v>352</v>
      </c>
      <c r="C260" s="1" t="s">
        <v>353</v>
      </c>
      <c r="D260" s="15" cm="1">
        <f t="array" ref="D260">(SUMPRODUCT(_xlfn.XLOOKUP(TRIM(G260:N260), $X$2:$X$6, $Y$2:$Y$6, 0), $G$4:$N$4) + SUMPRODUCT(_xlfn.XLOOKUP(TRIM(P260:T260), $X$2:$X$6, $Y$2:$Y$6, 0), $P$4:$T$4)) / SUM($G$4:$N$4, $P$4:$T$4)</f>
        <v>2.9324324324324325</v>
      </c>
      <c r="E260" s="1" t="s">
        <v>313</v>
      </c>
      <c r="G260" s="16" t="s">
        <v>14</v>
      </c>
      <c r="H260" s="16" t="s">
        <v>15</v>
      </c>
      <c r="I260" s="16" t="s">
        <v>17</v>
      </c>
      <c r="J260" s="16" t="s">
        <v>17</v>
      </c>
      <c r="K260" s="16" t="s">
        <v>14</v>
      </c>
      <c r="L260" s="16" t="s">
        <v>16</v>
      </c>
      <c r="M260" s="16" t="s">
        <v>16</v>
      </c>
      <c r="N260" s="16" t="s">
        <v>17</v>
      </c>
      <c r="O260" s="15" cm="1">
        <f t="array" ref="O260">SUMPRODUCT(_xlfn.XLOOKUP(G260:N260, $X$2:$X$6, $Y$2:$Y$6,0), $G$4:$N$4) / SUM($G$4:$N$4)</f>
        <v>2.8181818181818183</v>
      </c>
      <c r="P260" s="1" t="s">
        <v>15</v>
      </c>
      <c r="Q260" s="1" t="s">
        <v>16</v>
      </c>
      <c r="R260" s="1" t="s">
        <v>17</v>
      </c>
      <c r="S260" s="1" t="s">
        <v>15</v>
      </c>
      <c r="T260" s="1" t="s">
        <v>14</v>
      </c>
      <c r="U260" s="15" cm="1">
        <f t="array" ref="U260">SUMPRODUCT(_xlfn.XLOOKUP(P260:T260, $X$2:$X$6, $Y$2:$Y$6, 0), $P$4:$T$4) / SUM($P$4:$T$4)</f>
        <v>3.1</v>
      </c>
    </row>
    <row r="261" spans="1:21">
      <c r="A261" s="1">
        <v>1104278524</v>
      </c>
      <c r="B261" s="1" t="s">
        <v>354</v>
      </c>
      <c r="C261" s="1" t="s">
        <v>355</v>
      </c>
      <c r="D261" s="15" cm="1">
        <f t="array" ref="D261">(SUMPRODUCT(_xlfn.XLOOKUP(TRIM(G261:N261), $X$2:$X$6, $Y$2:$Y$6, 0), $G$4:$N$4) + SUMPRODUCT(_xlfn.XLOOKUP(TRIM(P261:T261), $X$2:$X$6, $Y$2:$Y$6, 0), $P$4:$T$4)) / SUM($G$4:$N$4, $P$4:$T$4)</f>
        <v>3.2432432432432434</v>
      </c>
      <c r="E261" s="1" t="s">
        <v>313</v>
      </c>
      <c r="G261" s="16" t="s">
        <v>15</v>
      </c>
      <c r="H261" s="16" t="s">
        <v>14</v>
      </c>
      <c r="I261" s="16" t="s">
        <v>17</v>
      </c>
      <c r="J261" s="16" t="s">
        <v>15</v>
      </c>
      <c r="K261" s="16" t="s">
        <v>17</v>
      </c>
      <c r="L261" s="16" t="s">
        <v>14</v>
      </c>
      <c r="M261" s="16" t="s">
        <v>16</v>
      </c>
      <c r="N261" s="16" t="s">
        <v>16</v>
      </c>
      <c r="O261" s="15" cm="1">
        <f t="array" ref="O261">SUMPRODUCT(_xlfn.XLOOKUP(G261:N261, $X$2:$X$6, $Y$2:$Y$6,0), $G$4:$N$4) / SUM($G$4:$N$4)</f>
        <v>3.1363636363636362</v>
      </c>
      <c r="P261" s="1" t="s">
        <v>14</v>
      </c>
      <c r="Q261" s="1" t="s">
        <v>16</v>
      </c>
      <c r="R261" s="1" t="s">
        <v>16</v>
      </c>
      <c r="S261" s="1" t="s">
        <v>15</v>
      </c>
      <c r="T261" s="1" t="s">
        <v>15</v>
      </c>
      <c r="U261" s="15" cm="1">
        <f t="array" ref="U261">SUMPRODUCT(_xlfn.XLOOKUP(P261:T261, $X$2:$X$6, $Y$2:$Y$6, 0), $P$4:$T$4) / SUM($P$4:$T$4)</f>
        <v>3.4</v>
      </c>
    </row>
    <row r="262" spans="1:21">
      <c r="A262" s="1">
        <v>1105896124</v>
      </c>
      <c r="B262" s="1" t="s">
        <v>356</v>
      </c>
      <c r="C262" s="1" t="s">
        <v>357</v>
      </c>
      <c r="D262" s="15" cm="1">
        <f t="array" ref="D262">(SUMPRODUCT(_xlfn.XLOOKUP(TRIM(G262:N262), $X$2:$X$6, $Y$2:$Y$6, 0), $G$4:$N$4) + SUMPRODUCT(_xlfn.XLOOKUP(TRIM(P262:T262), $X$2:$X$6, $Y$2:$Y$6, 0), $P$4:$T$4)) / SUM($G$4:$N$4, $P$4:$T$4)</f>
        <v>3.2702702702702702</v>
      </c>
      <c r="E262" s="1" t="s">
        <v>313</v>
      </c>
      <c r="G262" s="16" t="s">
        <v>16</v>
      </c>
      <c r="H262" s="16" t="s">
        <v>15</v>
      </c>
      <c r="I262" s="16" t="s">
        <v>14</v>
      </c>
      <c r="J262" s="16" t="s">
        <v>15</v>
      </c>
      <c r="K262" s="16" t="s">
        <v>15</v>
      </c>
      <c r="L262" s="16" t="s">
        <v>15</v>
      </c>
      <c r="M262" s="16" t="s">
        <v>17</v>
      </c>
      <c r="N262" s="16" t="s">
        <v>14</v>
      </c>
      <c r="O262" s="15" cm="1">
        <f t="array" ref="O262">SUMPRODUCT(_xlfn.XLOOKUP(G262:N262, $X$2:$X$6, $Y$2:$Y$6,0), $G$4:$N$4) / SUM($G$4:$N$4)</f>
        <v>3.4545454545454546</v>
      </c>
      <c r="P262" s="1" t="s">
        <v>16</v>
      </c>
      <c r="Q262" s="1" t="s">
        <v>16</v>
      </c>
      <c r="R262" s="1" t="s">
        <v>17</v>
      </c>
      <c r="S262" s="1" t="s">
        <v>15</v>
      </c>
      <c r="T262" s="1" t="s">
        <v>14</v>
      </c>
      <c r="U262" s="15" cm="1">
        <f t="array" ref="U262">SUMPRODUCT(_xlfn.XLOOKUP(P262:T262, $X$2:$X$6, $Y$2:$Y$6, 0), $P$4:$T$4) / SUM($P$4:$T$4)</f>
        <v>3</v>
      </c>
    </row>
    <row r="263" spans="1:21">
      <c r="A263" s="1">
        <v>1151706022</v>
      </c>
      <c r="B263" s="1" t="s">
        <v>553</v>
      </c>
      <c r="C263" s="1" t="s">
        <v>552</v>
      </c>
      <c r="D263" s="15" cm="1">
        <f t="array" ref="D263">(SUMPRODUCT(_xlfn.XLOOKUP(TRIM(G263:N263), $X$2:$X$6, $Y$2:$Y$6, 0), $G$4:$N$4) + SUMPRODUCT(_xlfn.XLOOKUP(TRIM(P263:T263), $X$2:$X$6, $Y$2:$Y$6, 0), $P$4:$T$4)) / SUM($G$4:$N$4, $P$4:$T$4)</f>
        <v>3.0270270270270272</v>
      </c>
      <c r="E263" s="1" t="s">
        <v>313</v>
      </c>
      <c r="G263" s="16" t="s">
        <v>17</v>
      </c>
      <c r="H263" s="16" t="s">
        <v>14</v>
      </c>
      <c r="I263" s="16" t="s">
        <v>16</v>
      </c>
      <c r="J263" s="16" t="s">
        <v>16</v>
      </c>
      <c r="K263" s="16" t="s">
        <v>15</v>
      </c>
      <c r="L263" s="16" t="s">
        <v>16</v>
      </c>
      <c r="M263" s="16" t="s">
        <v>17</v>
      </c>
      <c r="N263" s="16" t="s">
        <v>15</v>
      </c>
      <c r="O263" s="15" cm="1">
        <f t="array" ref="O263">SUMPRODUCT(_xlfn.XLOOKUP(G263:N263, $X$2:$X$6, $Y$2:$Y$6,0), $G$4:$N$4) / SUM($G$4:$N$4)</f>
        <v>3.0909090909090908</v>
      </c>
      <c r="P263" s="1" t="s">
        <v>16</v>
      </c>
      <c r="Q263" s="1" t="s">
        <v>14</v>
      </c>
      <c r="R263" s="1" t="s">
        <v>17</v>
      </c>
      <c r="S263" s="1" t="s">
        <v>16</v>
      </c>
      <c r="T263" s="1" t="s">
        <v>15</v>
      </c>
      <c r="U263" s="15" cm="1">
        <f t="array" ref="U263">SUMPRODUCT(_xlfn.XLOOKUP(P263:T263, $X$2:$X$6, $Y$2:$Y$6, 0), $P$4:$T$4) / SUM($P$4:$T$4)</f>
        <v>2.9333333333333331</v>
      </c>
    </row>
    <row r="264" spans="1:21">
      <c r="A264" s="1">
        <v>1137908022</v>
      </c>
      <c r="B264" s="1" t="s">
        <v>555</v>
      </c>
      <c r="C264" s="1" t="s">
        <v>554</v>
      </c>
      <c r="D264" s="15" cm="1">
        <f t="array" ref="D264">(SUMPRODUCT(_xlfn.XLOOKUP(TRIM(G264:N264), $X$2:$X$6, $Y$2:$Y$6, 0), $G$4:$N$4) + SUMPRODUCT(_xlfn.XLOOKUP(TRIM(P264:T264), $X$2:$X$6, $Y$2:$Y$6, 0), $P$4:$T$4)) / SUM($G$4:$N$4, $P$4:$T$4)</f>
        <v>3.2567567567567566</v>
      </c>
      <c r="E264" s="1" t="s">
        <v>313</v>
      </c>
      <c r="G264" s="16" t="s">
        <v>15</v>
      </c>
      <c r="H264" s="16" t="s">
        <v>16</v>
      </c>
      <c r="I264" s="16" t="s">
        <v>14</v>
      </c>
      <c r="J264" s="16" t="s">
        <v>17</v>
      </c>
      <c r="K264" s="16" t="s">
        <v>15</v>
      </c>
      <c r="L264" s="16" t="s">
        <v>15</v>
      </c>
      <c r="M264" s="16" t="s">
        <v>15</v>
      </c>
      <c r="N264" s="16" t="s">
        <v>14</v>
      </c>
      <c r="O264" s="15" cm="1">
        <f t="array" ref="O264">SUMPRODUCT(_xlfn.XLOOKUP(G264:N264, $X$2:$X$6, $Y$2:$Y$6,0), $G$4:$N$4) / SUM($G$4:$N$4)</f>
        <v>3.2727272727272729</v>
      </c>
      <c r="P264" s="1" t="s">
        <v>15</v>
      </c>
      <c r="Q264" s="1" t="s">
        <v>16</v>
      </c>
      <c r="R264" s="1" t="s">
        <v>16</v>
      </c>
      <c r="S264" s="1" t="s">
        <v>14</v>
      </c>
      <c r="T264" s="1" t="s">
        <v>17</v>
      </c>
      <c r="U264" s="15" cm="1">
        <f t="array" ref="U264">SUMPRODUCT(_xlfn.XLOOKUP(P264:T264, $X$2:$X$6, $Y$2:$Y$6, 0), $P$4:$T$4) / SUM($P$4:$T$4)</f>
        <v>3.2333333333333334</v>
      </c>
    </row>
    <row r="265" spans="1:21">
      <c r="A265" s="1">
        <v>1101060022</v>
      </c>
      <c r="B265" s="1" t="s">
        <v>557</v>
      </c>
      <c r="C265" s="1" t="s">
        <v>556</v>
      </c>
      <c r="D265" s="15" cm="1">
        <f t="array" ref="D265">(SUMPRODUCT(_xlfn.XLOOKUP(TRIM(G265:N265), $X$2:$X$6, $Y$2:$Y$6, 0), $G$4:$N$4) + SUMPRODUCT(_xlfn.XLOOKUP(TRIM(P265:T265), $X$2:$X$6, $Y$2:$Y$6, 0), $P$4:$T$4)) / SUM($G$4:$N$4, $P$4:$T$4)</f>
        <v>3.3513513513513513</v>
      </c>
      <c r="E265" s="1" t="s">
        <v>313</v>
      </c>
      <c r="G265" s="16" t="s">
        <v>16</v>
      </c>
      <c r="H265" s="16" t="s">
        <v>14</v>
      </c>
      <c r="I265" s="16" t="s">
        <v>17</v>
      </c>
      <c r="J265" s="16" t="s">
        <v>14</v>
      </c>
      <c r="K265" s="16" t="s">
        <v>14</v>
      </c>
      <c r="L265" s="16" t="s">
        <v>15</v>
      </c>
      <c r="M265" s="16" t="s">
        <v>15</v>
      </c>
      <c r="N265" s="16" t="s">
        <v>16</v>
      </c>
      <c r="O265" s="15" cm="1">
        <f t="array" ref="O265">SUMPRODUCT(_xlfn.XLOOKUP(G265:N265, $X$2:$X$6, $Y$2:$Y$6,0), $G$4:$N$4) / SUM($G$4:$N$4)</f>
        <v>3.3636363636363638</v>
      </c>
      <c r="P265" s="1" t="s">
        <v>14</v>
      </c>
      <c r="Q265" s="1" t="s">
        <v>17</v>
      </c>
      <c r="R265" s="1" t="s">
        <v>14</v>
      </c>
      <c r="S265" s="1" t="s">
        <v>15</v>
      </c>
      <c r="T265" s="1" t="s">
        <v>17</v>
      </c>
      <c r="U265" s="15" cm="1">
        <f t="array" ref="U265">SUMPRODUCT(_xlfn.XLOOKUP(P265:T265, $X$2:$X$6, $Y$2:$Y$6, 0), $P$4:$T$4) / SUM($P$4:$T$4)</f>
        <v>3.3333333333333335</v>
      </c>
    </row>
    <row r="266" spans="1:21">
      <c r="A266" s="1">
        <v>2101023821</v>
      </c>
      <c r="B266" s="1" t="s">
        <v>559</v>
      </c>
      <c r="C266" s="1" t="s">
        <v>558</v>
      </c>
      <c r="D266" s="15" cm="1">
        <f t="array" ref="D266">(SUMPRODUCT(_xlfn.XLOOKUP(TRIM(G266:N266), $X$2:$X$6, $Y$2:$Y$6, 0), $G$4:$N$4) + SUMPRODUCT(_xlfn.XLOOKUP(TRIM(P266:T266), $X$2:$X$6, $Y$2:$Y$6, 0), $P$4:$T$4)) / SUM($G$4:$N$4, $P$4:$T$4)</f>
        <v>3.3783783783783785</v>
      </c>
      <c r="E266" s="1" t="s">
        <v>313</v>
      </c>
      <c r="G266" s="16" t="s">
        <v>15</v>
      </c>
      <c r="H266" s="16" t="s">
        <v>16</v>
      </c>
      <c r="I266" s="16" t="s">
        <v>14</v>
      </c>
      <c r="J266" s="16" t="s">
        <v>15</v>
      </c>
      <c r="K266" s="16" t="s">
        <v>14</v>
      </c>
      <c r="L266" s="16" t="s">
        <v>17</v>
      </c>
      <c r="M266" s="16" t="s">
        <v>15</v>
      </c>
      <c r="N266" s="16" t="s">
        <v>15</v>
      </c>
      <c r="O266" s="15" cm="1">
        <f t="array" ref="O266">SUMPRODUCT(_xlfn.XLOOKUP(G266:N266, $X$2:$X$6, $Y$2:$Y$6,0), $G$4:$N$4) / SUM($G$4:$N$4)</f>
        <v>3.4090909090909092</v>
      </c>
      <c r="P266" s="1" t="s">
        <v>16</v>
      </c>
      <c r="Q266" s="1" t="s">
        <v>17</v>
      </c>
      <c r="R266" s="1" t="s">
        <v>15</v>
      </c>
      <c r="S266" s="1" t="s">
        <v>14</v>
      </c>
      <c r="T266" s="1" t="s">
        <v>15</v>
      </c>
      <c r="U266" s="15" cm="1">
        <f t="array" ref="U266">SUMPRODUCT(_xlfn.XLOOKUP(P266:T266, $X$2:$X$6, $Y$2:$Y$6, 0), $P$4:$T$4) / SUM($P$4:$T$4)</f>
        <v>3.3333333333333335</v>
      </c>
    </row>
    <row r="267" spans="1:21">
      <c r="A267" s="1">
        <v>2103568522</v>
      </c>
      <c r="B267" s="1" t="s">
        <v>560</v>
      </c>
      <c r="C267" s="1" t="s">
        <v>561</v>
      </c>
      <c r="D267" s="15" cm="1">
        <f t="array" ref="D267">(SUMPRODUCT(_xlfn.XLOOKUP(TRIM(G267:N267), $X$2:$X$6, $Y$2:$Y$6, 0), $G$4:$N$4) + SUMPRODUCT(_xlfn.XLOOKUP(TRIM(P267:T267), $X$2:$X$6, $Y$2:$Y$6, 0), $P$4:$T$4)) / SUM($G$4:$N$4, $P$4:$T$4)</f>
        <v>3.4054054054054053</v>
      </c>
      <c r="E267" s="1" t="s">
        <v>313</v>
      </c>
      <c r="G267" s="16" t="s">
        <v>16</v>
      </c>
      <c r="H267" s="16" t="s">
        <v>14</v>
      </c>
      <c r="I267" s="16" t="s">
        <v>15</v>
      </c>
      <c r="J267" s="16" t="s">
        <v>15</v>
      </c>
      <c r="K267" s="16" t="s">
        <v>16</v>
      </c>
      <c r="L267" s="16" t="s">
        <v>16</v>
      </c>
      <c r="M267" s="16" t="s">
        <v>15</v>
      </c>
      <c r="N267" s="16" t="s">
        <v>17</v>
      </c>
      <c r="O267" s="15" cm="1">
        <f t="array" ref="O267">SUMPRODUCT(_xlfn.XLOOKUP(G267:N267, $X$2:$X$6, $Y$2:$Y$6,0), $G$4:$N$4) / SUM($G$4:$N$4)</f>
        <v>3.3181818181818183</v>
      </c>
      <c r="P267" s="1" t="s">
        <v>16</v>
      </c>
      <c r="Q267" s="1" t="s">
        <v>14</v>
      </c>
      <c r="R267" s="1" t="s">
        <v>14</v>
      </c>
      <c r="S267" s="1" t="s">
        <v>14</v>
      </c>
      <c r="T267" s="1" t="s">
        <v>17</v>
      </c>
      <c r="U267" s="15" cm="1">
        <f t="array" ref="U267">SUMPRODUCT(_xlfn.XLOOKUP(P267:T267, $X$2:$X$6, $Y$2:$Y$6, 0), $P$4:$T$4) / SUM($P$4:$T$4)</f>
        <v>3.5333333333333332</v>
      </c>
    </row>
    <row r="268" spans="1:21">
      <c r="A268" s="1">
        <v>2200400922</v>
      </c>
      <c r="B268" s="1" t="s">
        <v>563</v>
      </c>
      <c r="C268" s="1" t="s">
        <v>562</v>
      </c>
      <c r="D268" s="15" cm="1">
        <f t="array" ref="D268">(SUMPRODUCT(_xlfn.XLOOKUP(TRIM(G268:N268), $X$2:$X$6, $Y$2:$Y$6, 0), $G$4:$N$4) + SUMPRODUCT(_xlfn.XLOOKUP(TRIM(P268:T268), $X$2:$X$6, $Y$2:$Y$6, 0), $P$4:$T$4)) / SUM($G$4:$N$4, $P$4:$T$4)</f>
        <v>3.1081081081081079</v>
      </c>
      <c r="E268" s="1" t="s">
        <v>313</v>
      </c>
      <c r="G268" s="16" t="s">
        <v>14</v>
      </c>
      <c r="H268" s="16" t="s">
        <v>17</v>
      </c>
      <c r="I268" s="16" t="s">
        <v>15</v>
      </c>
      <c r="J268" s="16" t="s">
        <v>14</v>
      </c>
      <c r="K268" s="16" t="s">
        <v>16</v>
      </c>
      <c r="L268" s="16" t="s">
        <v>15</v>
      </c>
      <c r="M268" s="16" t="s">
        <v>14</v>
      </c>
      <c r="N268" s="16" t="s">
        <v>17</v>
      </c>
      <c r="O268" s="15" cm="1">
        <f t="array" ref="O268">SUMPRODUCT(_xlfn.XLOOKUP(G268:N268, $X$2:$X$6, $Y$2:$Y$6,0), $G$4:$N$4) / SUM($G$4:$N$4)</f>
        <v>3.2272727272727271</v>
      </c>
      <c r="P268" s="1" t="s">
        <v>14</v>
      </c>
      <c r="Q268" s="1" t="s">
        <v>14</v>
      </c>
      <c r="R268" s="1" t="s">
        <v>17</v>
      </c>
      <c r="S268" s="1" t="s">
        <v>16</v>
      </c>
      <c r="T268" s="1" t="s">
        <v>17</v>
      </c>
      <c r="U268" s="15" cm="1">
        <f t="array" ref="U268">SUMPRODUCT(_xlfn.XLOOKUP(P268:T268, $X$2:$X$6, $Y$2:$Y$6, 0), $P$4:$T$4) / SUM($P$4:$T$4)</f>
        <v>2.9333333333333331</v>
      </c>
    </row>
    <row r="269" spans="1:21">
      <c r="A269" s="1">
        <v>1106601022</v>
      </c>
      <c r="B269" s="1" t="s">
        <v>565</v>
      </c>
      <c r="C269" s="1" t="s">
        <v>564</v>
      </c>
      <c r="D269" s="15" cm="1">
        <f t="array" ref="D269">(SUMPRODUCT(_xlfn.XLOOKUP(TRIM(G269:N269), $X$2:$X$6, $Y$2:$Y$6, 0), $G$4:$N$4) + SUMPRODUCT(_xlfn.XLOOKUP(TRIM(P269:T269), $X$2:$X$6, $Y$2:$Y$6, 0), $P$4:$T$4)) / SUM($G$4:$N$4, $P$4:$T$4)</f>
        <v>3.3918918918918921</v>
      </c>
      <c r="E269" s="1" t="s">
        <v>313</v>
      </c>
      <c r="G269" s="16" t="s">
        <v>15</v>
      </c>
      <c r="H269" s="16" t="s">
        <v>16</v>
      </c>
      <c r="I269" s="16" t="s">
        <v>14</v>
      </c>
      <c r="J269" s="16" t="s">
        <v>15</v>
      </c>
      <c r="K269" s="16" t="s">
        <v>14</v>
      </c>
      <c r="L269" s="16" t="s">
        <v>17</v>
      </c>
      <c r="M269" s="16" t="s">
        <v>15</v>
      </c>
      <c r="N269" s="16" t="s">
        <v>16</v>
      </c>
      <c r="O269" s="15" cm="1">
        <f t="array" ref="O269">SUMPRODUCT(_xlfn.XLOOKUP(G269:N269, $X$2:$X$6, $Y$2:$Y$6,0), $G$4:$N$4) / SUM($G$4:$N$4)</f>
        <v>3.3636363636363638</v>
      </c>
      <c r="P269" s="1" t="s">
        <v>15</v>
      </c>
      <c r="Q269" s="1" t="s">
        <v>15</v>
      </c>
      <c r="R269" s="1" t="s">
        <v>15</v>
      </c>
      <c r="S269" s="1" t="s">
        <v>15</v>
      </c>
      <c r="T269" s="1" t="s">
        <v>16</v>
      </c>
      <c r="U269" s="15" cm="1">
        <f t="array" ref="U269">SUMPRODUCT(_xlfn.XLOOKUP(P269:T269, $X$2:$X$6, $Y$2:$Y$6, 0), $P$4:$T$4) / SUM($P$4:$T$4)</f>
        <v>3.4333333333333331</v>
      </c>
    </row>
    <row r="270" spans="1:21">
      <c r="A270" s="1">
        <v>1146104922</v>
      </c>
      <c r="B270" s="1" t="s">
        <v>567</v>
      </c>
      <c r="C270" s="1" t="s">
        <v>566</v>
      </c>
      <c r="D270" s="15" cm="1">
        <f t="array" ref="D270">(SUMPRODUCT(_xlfn.XLOOKUP(TRIM(G270:N270), $X$2:$X$6, $Y$2:$Y$6, 0), $G$4:$N$4) + SUMPRODUCT(_xlfn.XLOOKUP(TRIM(P270:T270), $X$2:$X$6, $Y$2:$Y$6, 0), $P$4:$T$4)) / SUM($G$4:$N$4, $P$4:$T$4)</f>
        <v>3.2702702702702702</v>
      </c>
      <c r="E270" s="1" t="s">
        <v>313</v>
      </c>
      <c r="G270" s="16" t="s">
        <v>15</v>
      </c>
      <c r="H270" s="16" t="s">
        <v>14</v>
      </c>
      <c r="I270" s="16" t="s">
        <v>14</v>
      </c>
      <c r="J270" s="16" t="s">
        <v>15</v>
      </c>
      <c r="K270" s="16" t="s">
        <v>14</v>
      </c>
      <c r="L270" s="16" t="s">
        <v>17</v>
      </c>
      <c r="M270" s="16" t="s">
        <v>15</v>
      </c>
      <c r="N270" s="16" t="s">
        <v>14</v>
      </c>
      <c r="O270" s="15" cm="1">
        <f t="array" ref="O270">SUMPRODUCT(_xlfn.XLOOKUP(G270:N270, $X$2:$X$6, $Y$2:$Y$6,0), $G$4:$N$4) / SUM($G$4:$N$4)</f>
        <v>3.6363636363636362</v>
      </c>
      <c r="P270" s="1" t="s">
        <v>16</v>
      </c>
      <c r="Q270" s="1" t="s">
        <v>17</v>
      </c>
      <c r="R270" s="1" t="s">
        <v>14</v>
      </c>
      <c r="S270" s="1" t="s">
        <v>17</v>
      </c>
      <c r="T270" s="1" t="s">
        <v>17</v>
      </c>
      <c r="U270" s="15" cm="1">
        <f t="array" ref="U270">SUMPRODUCT(_xlfn.XLOOKUP(P270:T270, $X$2:$X$6, $Y$2:$Y$6, 0), $P$4:$T$4) / SUM($P$4:$T$4)</f>
        <v>2.7333333333333334</v>
      </c>
    </row>
    <row r="271" spans="1:21">
      <c r="A271" s="1">
        <v>2104152122</v>
      </c>
      <c r="B271" s="1" t="s">
        <v>568</v>
      </c>
      <c r="C271" s="1" t="s">
        <v>569</v>
      </c>
      <c r="D271" s="15" cm="1">
        <f t="array" ref="D271">(SUMPRODUCT(_xlfn.XLOOKUP(TRIM(G271:N271), $X$2:$X$6, $Y$2:$Y$6, 0), $G$4:$N$4) + SUMPRODUCT(_xlfn.XLOOKUP(TRIM(P271:T271), $X$2:$X$6, $Y$2:$Y$6, 0), $P$4:$T$4)) / SUM($G$4:$N$4, $P$4:$T$4)</f>
        <v>3.1756756756756759</v>
      </c>
      <c r="E271" s="1" t="s">
        <v>313</v>
      </c>
      <c r="G271" s="16" t="s">
        <v>15</v>
      </c>
      <c r="H271" s="16" t="s">
        <v>15</v>
      </c>
      <c r="I271" s="16" t="s">
        <v>15</v>
      </c>
      <c r="J271" s="16" t="s">
        <v>14</v>
      </c>
      <c r="K271" s="16" t="s">
        <v>16</v>
      </c>
      <c r="L271" s="16" t="s">
        <v>16</v>
      </c>
      <c r="M271" s="16" t="s">
        <v>15</v>
      </c>
      <c r="N271" s="16" t="s">
        <v>17</v>
      </c>
      <c r="O271" s="15" cm="1">
        <f t="array" ref="O271">SUMPRODUCT(_xlfn.XLOOKUP(G271:N271, $X$2:$X$6, $Y$2:$Y$6,0), $G$4:$N$4) / SUM($G$4:$N$4)</f>
        <v>3.3636363636363638</v>
      </c>
      <c r="P271" s="1" t="s">
        <v>15</v>
      </c>
      <c r="Q271" s="1" t="s">
        <v>15</v>
      </c>
      <c r="R271" s="1" t="s">
        <v>15</v>
      </c>
      <c r="S271" s="1" t="s">
        <v>17</v>
      </c>
      <c r="T271" s="1" t="s">
        <v>17</v>
      </c>
      <c r="U271" s="15" cm="1">
        <f t="array" ref="U271">SUMPRODUCT(_xlfn.XLOOKUP(P271:T271, $X$2:$X$6, $Y$2:$Y$6, 0), $P$4:$T$4) / SUM($P$4:$T$4)</f>
        <v>2.9</v>
      </c>
    </row>
    <row r="272" spans="1:21">
      <c r="A272" s="1">
        <v>1158509522</v>
      </c>
      <c r="B272" s="1" t="s">
        <v>571</v>
      </c>
      <c r="C272" s="1" t="s">
        <v>570</v>
      </c>
      <c r="D272" s="15" cm="1">
        <f t="array" ref="D272">(SUMPRODUCT(_xlfn.XLOOKUP(TRIM(G272:N272), $X$2:$X$6, $Y$2:$Y$6, 0), $G$4:$N$4) + SUMPRODUCT(_xlfn.XLOOKUP(TRIM(P272:T272), $X$2:$X$6, $Y$2:$Y$6, 0), $P$4:$T$4)) / SUM($G$4:$N$4, $P$4:$T$4)</f>
        <v>3.3783783783783785</v>
      </c>
      <c r="E272" s="1" t="s">
        <v>313</v>
      </c>
      <c r="G272" s="16" t="s">
        <v>16</v>
      </c>
      <c r="H272" s="16" t="s">
        <v>14</v>
      </c>
      <c r="I272" s="16" t="s">
        <v>14</v>
      </c>
      <c r="J272" s="16" t="s">
        <v>17</v>
      </c>
      <c r="K272" s="16" t="s">
        <v>15</v>
      </c>
      <c r="L272" s="16" t="s">
        <v>15</v>
      </c>
      <c r="M272" s="16" t="s">
        <v>15</v>
      </c>
      <c r="N272" s="16" t="s">
        <v>15</v>
      </c>
      <c r="O272" s="15" cm="1">
        <f t="array" ref="O272">SUMPRODUCT(_xlfn.XLOOKUP(G272:N272, $X$2:$X$6, $Y$2:$Y$6,0), $G$4:$N$4) / SUM($G$4:$N$4)</f>
        <v>3.3636363636363638</v>
      </c>
      <c r="P272" s="1" t="s">
        <v>16</v>
      </c>
      <c r="Q272" s="1" t="s">
        <v>16</v>
      </c>
      <c r="R272" s="1" t="s">
        <v>15</v>
      </c>
      <c r="S272" s="1" t="s">
        <v>14</v>
      </c>
      <c r="T272" s="1" t="s">
        <v>16</v>
      </c>
      <c r="U272" s="15" cm="1">
        <f t="array" ref="U272">SUMPRODUCT(_xlfn.XLOOKUP(P272:T272, $X$2:$X$6, $Y$2:$Y$6, 0), $P$4:$T$4) / SUM($P$4:$T$4)</f>
        <v>3.4</v>
      </c>
    </row>
    <row r="273" spans="1:21">
      <c r="A273" s="1">
        <v>1163551722</v>
      </c>
      <c r="B273" s="1" t="s">
        <v>573</v>
      </c>
      <c r="C273" s="1" t="s">
        <v>572</v>
      </c>
      <c r="D273" s="15" cm="1">
        <f t="array" ref="D273">(SUMPRODUCT(_xlfn.XLOOKUP(TRIM(G273:N273), $X$2:$X$6, $Y$2:$Y$6, 0), $G$4:$N$4) + SUMPRODUCT(_xlfn.XLOOKUP(TRIM(P273:T273), $X$2:$X$6, $Y$2:$Y$6, 0), $P$4:$T$4)) / SUM($G$4:$N$4, $P$4:$T$4)</f>
        <v>3.1351351351351351</v>
      </c>
      <c r="E273" s="1" t="s">
        <v>313</v>
      </c>
      <c r="G273" s="16" t="s">
        <v>17</v>
      </c>
      <c r="H273" s="16" t="s">
        <v>14</v>
      </c>
      <c r="I273" s="16" t="s">
        <v>16</v>
      </c>
      <c r="J273" s="16" t="s">
        <v>14</v>
      </c>
      <c r="K273" s="16" t="s">
        <v>14</v>
      </c>
      <c r="L273" s="16" t="s">
        <v>15</v>
      </c>
      <c r="M273" s="16" t="s">
        <v>16</v>
      </c>
      <c r="N273" s="16" t="s">
        <v>14</v>
      </c>
      <c r="O273" s="15" cm="1">
        <f t="array" ref="O273">SUMPRODUCT(_xlfn.XLOOKUP(G273:N273, $X$2:$X$6, $Y$2:$Y$6,0), $G$4:$N$4) / SUM($G$4:$N$4)</f>
        <v>3.5</v>
      </c>
      <c r="P273" s="1" t="s">
        <v>16</v>
      </c>
      <c r="Q273" s="1" t="s">
        <v>17</v>
      </c>
      <c r="R273" s="1" t="s">
        <v>16</v>
      </c>
      <c r="S273" s="1" t="s">
        <v>17</v>
      </c>
      <c r="T273" s="1" t="s">
        <v>16</v>
      </c>
      <c r="U273" s="15" cm="1">
        <f t="array" ref="U273">SUMPRODUCT(_xlfn.XLOOKUP(P273:T273, $X$2:$X$6, $Y$2:$Y$6, 0), $P$4:$T$4) / SUM($P$4:$T$4)</f>
        <v>2.6</v>
      </c>
    </row>
  </sheetData>
  <mergeCells count="11">
    <mergeCell ref="G2:O2"/>
    <mergeCell ref="P2:U2"/>
    <mergeCell ref="A1:U1"/>
    <mergeCell ref="A2:A4"/>
    <mergeCell ref="B2:B4"/>
    <mergeCell ref="D2:D4"/>
    <mergeCell ref="E2:E4"/>
    <mergeCell ref="O3:O4"/>
    <mergeCell ref="U3:U4"/>
    <mergeCell ref="F2:F4"/>
    <mergeCell ref="C2:C4"/>
  </mergeCells>
  <conditionalFormatting sqref="U5:U273 O5:O273 D5:D273">
    <cfRule type="cellIs" dxfId="4" priority="27" operator="greaterThanOrEqual">
      <formula>3.5</formula>
    </cfRule>
    <cfRule type="cellIs" dxfId="3" priority="29" operator="greaterThanOrEqual">
      <formula>3</formula>
    </cfRule>
    <cfRule type="cellIs" dxfId="2" priority="30" operator="greaterThanOrEqual">
      <formula>2</formula>
    </cfRule>
    <cfRule type="cellIs" dxfId="1" priority="31" operator="greaterThanOrEqual">
      <formula>0</formula>
    </cfRule>
  </conditionalFormatting>
  <conditionalFormatting sqref="A5:U273">
    <cfRule type="expression" dxfId="0" priority="1">
      <formula>AND(MOD(ROW(), 2) = 1, COLUMN() &lt;&gt; 4, COLUMN() &lt;&gt; 15)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SuperShipper</dc:creator>
  <cp:lastModifiedBy>SuperShipper</cp:lastModifiedBy>
  <dcterms:created xsi:type="dcterms:W3CDTF">2026-09-10T09:43:10Z</dcterms:created>
  <dcterms:modified xsi:type="dcterms:W3CDTF">2026-09-13T15:30:53Z</dcterms:modified>
</cp:coreProperties>
</file>